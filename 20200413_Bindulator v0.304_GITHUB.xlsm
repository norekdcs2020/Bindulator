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_Worksheet" defaultThemeVersion="166925"/>
  <mc:AlternateContent xmlns:mc="http://schemas.openxmlformats.org/markup-compatibility/2006">
    <mc:Choice Requires="x15">
      <x15ac:absPath xmlns:x15ac="http://schemas.microsoft.com/office/spreadsheetml/2010/11/ac" url="D:\Norek\Files\Gry\DCS\BINDULATOR\!!!GITKRAKEN\Bindulator\"/>
    </mc:Choice>
  </mc:AlternateContent>
  <xr:revisionPtr revIDLastSave="0" documentId="13_ncr:1_{F5EA0A08-CF07-4388-B308-8E8274200989}" xr6:coauthVersionLast="45" xr6:coauthVersionMax="45" xr10:uidLastSave="{00000000-0000-0000-0000-000000000000}"/>
  <bookViews>
    <workbookView xWindow="-120" yWindow="-120" windowWidth="38640" windowHeight="15840" tabRatio="825" activeTab="6" xr2:uid="{00000000-000D-0000-FFFF-FFFF00000000}"/>
  </bookViews>
  <sheets>
    <sheet name="Baza kontrolerow" sheetId="29" r:id="rId1"/>
    <sheet name="Baza samolotow" sheetId="30" r:id="rId2"/>
    <sheet name="Przyciski" sheetId="5" r:id="rId3"/>
    <sheet name="Bindy_KONTROLER 1" sheetId="1" r:id="rId4"/>
    <sheet name="Bindy_KONTROLER 2" sheetId="2" r:id="rId5"/>
    <sheet name="Przyporzadkowanie" sheetId="6" r:id="rId6"/>
    <sheet name="KONSOLA" sheetId="27" r:id="rId7"/>
  </sheets>
  <definedNames>
    <definedName name="DaneZewnętrzne_10" localSheetId="5" hidden="1">Przyporzadkowanie!$I$1:$I$2</definedName>
    <definedName name="DaneZewnętrzne_11" localSheetId="5" hidden="1">Przyporzadkowanie!$P$1:$P$2</definedName>
    <definedName name="DaneZewnętrzne_12" localSheetId="5" hidden="1">Przyporzadkowanie!$S$1:$S$2</definedName>
    <definedName name="DaneZewnętrzne_13" localSheetId="5" hidden="1">Przyporzadkowanie!$U$1:$U$2</definedName>
    <definedName name="DaneZewnętrzne_14" localSheetId="5" hidden="1">Przyporzadkowanie!$V$1:$V$2</definedName>
    <definedName name="DaneZewnętrzne_15" localSheetId="5" hidden="1">Przyporzadkowanie!$W$1:$W$2</definedName>
    <definedName name="DaneZewnętrzne_16" localSheetId="5" hidden="1">Przyporzadkowanie!$A$4:$H$5</definedName>
    <definedName name="DaneZewnętrzne_17" localSheetId="5" hidden="1">Przyporzadkowanie!$K$4:$R$5</definedName>
    <definedName name="DaneZewnętrzne_2" localSheetId="5" hidden="1">Przyporzadkowanie!$A$1:$A$2</definedName>
    <definedName name="DaneZewnętrzne_3" localSheetId="5" hidden="1">Przyporzadkowanie!$B$1:$B$2</definedName>
    <definedName name="DaneZewnętrzne_4" localSheetId="5" hidden="1">Przyporzadkowanie!$C$1:$C$2</definedName>
    <definedName name="DaneZewnętrzne_5" localSheetId="5" hidden="1">Przyporzadkowanie!#REF!</definedName>
    <definedName name="DaneZewnętrzne_6" localSheetId="5" hidden="1">Przyporzadkowanie!$K$1:$K$2</definedName>
    <definedName name="DaneZewnętrzne_7" localSheetId="5" hidden="1">Przyporzadkowanie!$L$1:$L$2</definedName>
    <definedName name="DaneZewnętrzne_8" localSheetId="5" hidden="1">Przyporzadkowanie!$M$1:$M$2</definedName>
    <definedName name="DaneZewnętrzne_9" localSheetId="5" hidden="1">Przyporzadkowanie!$F$1:$F$2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" i="6" l="1" a="1"/>
  <c r="O2" i="6" s="1"/>
  <c r="E2" i="6" a="1"/>
  <c r="E2" i="6" s="1"/>
  <c r="R2" i="6" l="1"/>
  <c r="H2" i="6"/>
  <c r="O6" i="27" l="1"/>
  <c r="K6" i="27" l="1"/>
  <c r="H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828FA8-93BD-4706-BE79-5742F6D8131F}" keepAlive="1" name="Zapytanie — Kontroler1" description="Połączenie z zapytaniem „Kontroler1” w skoroszycie." type="5" refreshedVersion="6" background="1" saveData="1">
    <dbPr connection="Provider=Microsoft.Mashup.OleDb.1;Data Source=$Workbook$;Location=Kontroler1;Extended Properties=&quot;&quot;" command="SELECT * FROM [Kontroler1]"/>
  </connection>
  <connection id="2" xr16:uid="{7B80B743-2CF9-4439-B8F9-A50BBF7A8FED}" keepAlive="1" name="Zapytanie — Kontroler2" description="Połączenie z zapytaniem „Kontroler2” w skoroszycie." type="5" refreshedVersion="6" background="1" saveData="1">
    <dbPr connection="Provider=Microsoft.Mashup.OleDb.1;Data Source=$Workbook$;Location=Kontroler2;Extended Properties=&quot;&quot;" command="SELECT * FROM [Kontroler2]"/>
  </connection>
  <connection id="3" xr16:uid="{3B27E00B-52AB-4EE8-B2C6-3EB7C1107A4F}" keepAlive="1" name="Zapytanie — Modyfikatory_Kontroler1 MOD2" description="Połączenie z zapytaniem „Modyfikatory_Kontroler1 MOD2” w skoroszycie." type="5" refreshedVersion="6" background="1" saveData="1">
    <dbPr connection="Provider=Microsoft.Mashup.OleDb.1;Data Source=$Workbook$;Location=Modyfikatory_Kontroler1 MOD2;Extended Properties=&quot;&quot;" command="SELECT * FROM [Modyfikatory_Kontroler1 MOD2]"/>
  </connection>
  <connection id="4" xr16:uid="{56A56327-38DB-4D71-BC61-6769780FFD47}" keepAlive="1" name="Zapytanie — Modyfikatory_Kontroler1_MOD1" description="Połączenie z zapytaniem „Modyfikatory_Kontroler1_MOD1” w skoroszycie." type="5" refreshedVersion="6" background="1" saveData="1">
    <dbPr connection="Provider=Microsoft.Mashup.OleDb.1;Data Source=$Workbook$;Location=Modyfikatory_Kontroler1_MOD1;Extended Properties=&quot;&quot;" command="SELECT * FROM [Modyfikatory_Kontroler1_MOD1]"/>
  </connection>
  <connection id="5" xr16:uid="{5C665992-D52C-4889-9441-7C6A2D58A444}" keepAlive="1" name="Zapytanie — Modyfikatory_Kontroler2_MOD1" description="Połączenie z zapytaniem „Modyfikatory_Kontroler2_MOD1” w skoroszycie." type="5" refreshedVersion="6" background="1" saveData="1">
    <dbPr connection="Provider=Microsoft.Mashup.OleDb.1;Data Source=$Workbook$;Location=Modyfikatory_Kontroler2_MOD1;Extended Properties=&quot;&quot;" command="SELECT * FROM [Modyfikatory_Kontroler2_MOD1]"/>
  </connection>
  <connection id="6" xr16:uid="{B50A9B63-71D6-4EAE-9064-E3737EA5DFB7}" keepAlive="1" name="Zapytanie — Modyfikatory_Kontroler2_MOD2" description="Połączenie z zapytaniem „Modyfikatory_Kontroler2_MOD2” w skoroszycie." type="5" refreshedVersion="6" background="1" saveData="1">
    <dbPr connection="Provider=Microsoft.Mashup.OleDb.1;Data Source=$Workbook$;Location=Modyfikatory_Kontroler2_MOD2;Extended Properties=&quot;&quot;" command="SELECT * FROM [Modyfikatory_Kontroler2_MOD2]"/>
  </connection>
  <connection id="7" xr16:uid="{6847BA91-CA6B-499E-8B3D-C1D80B0B6C74}" keepAlive="1" name="Zapytanie — Przyciski_Kontroler1_duplikaty_funkcji" description="Połączenie z zapytaniem „Przyciski_Kontroler1_duplikaty_funkcji” w skoroszycie." type="5" refreshedVersion="6" background="1" saveData="1">
    <dbPr connection="Provider=Microsoft.Mashup.OleDb.1;Data Source=$Workbook$;Location=Przyciski_Kontroler1_duplikaty_funkcji;Extended Properties=&quot;&quot;" command="SELECT * FROM [Przyciski_Kontroler1_duplikaty_funkcji]"/>
  </connection>
  <connection id="8" xr16:uid="{86B533D5-90A2-4183-9260-C331139CA874}" keepAlive="1" name="Zapytanie — Przyciski_Kontroler1_duplikaty_przyciskow" description="Połączenie z zapytaniem „Przyciski_Kontroler1_duplikaty_przyciskow” w skoroszycie." type="5" refreshedVersion="6" background="1" saveData="1">
    <dbPr connection="Provider=Microsoft.Mashup.OleDb.1;Data Source=$Workbook$;Location=Przyciski_Kontroler1_duplikaty_przyciskow;Extended Properties=&quot;&quot;" command="SELECT * FROM [Przyciski_Kontroler1_duplikaty_przyciskow]"/>
  </connection>
  <connection id="9" xr16:uid="{B3122580-36D4-4D6F-8F8C-F795D1357027}" keepAlive="1" name="Zapytanie — Przyciski_Kontroler1_przyciski_WSZYSTKIE" description="Połączenie z zapytaniem „Przyciski_Kontroler1_przyciski_WSZYSTKIE” w skoroszycie." type="5" refreshedVersion="6" background="1" saveData="1">
    <dbPr connection="Provider=Microsoft.Mashup.OleDb.1;Data Source=$Workbook$;Location=Przyciski_Kontroler1_przyciski_WSZYSTKIE;Extended Properties=&quot;&quot;" command="SELECT * FROM [Przyciski_Kontroler1_przyciski_WSZYSTKIE]"/>
  </connection>
  <connection id="10" xr16:uid="{AD014414-52E3-412D-81CA-E2492C8A4339}" keepAlive="1" name="Zapytanie — Przyciski_Kontroler1i2_duplikaty_funkcji" description="Połączenie z zapytaniem „Przyciski_Kontroler1i2_duplikaty_funkcji” w skoroszycie." type="5" refreshedVersion="6" background="1" saveData="1">
    <dbPr connection="Provider=Microsoft.Mashup.OleDb.1;Data Source=$Workbook$;Location=Przyciski_Kontroler1i2_duplikaty_funkcji;Extended Properties=&quot;&quot;" command="SELECT * FROM [Przyciski_Kontroler1i2_duplikaty_funkcji]"/>
  </connection>
  <connection id="11" xr16:uid="{82814A9A-EB80-4FD6-B1AA-E7E9937DA871}" keepAlive="1" name="Zapytanie — Przyciski_Kontroler1i2_duplikaty_przyciskow" description="Połączenie z zapytaniem „Przyciski_Kontroler1i2_duplikaty_przyciskow” w skoroszycie." type="5" refreshedVersion="6" background="1" saveData="1">
    <dbPr connection="Provider=Microsoft.Mashup.OleDb.1;Data Source=$Workbook$;Location=Przyciski_Kontroler1i2_duplikaty_przyciskow;Extended Properties=&quot;&quot;" command="SELECT * FROM [Przyciski_Kontroler1i2_duplikaty_przyciskow]"/>
  </connection>
  <connection id="12" xr16:uid="{E8A79EC5-6823-4122-A856-44801542E851}" keepAlive="1" name="Zapytanie — Przyciski_Kontroler1i2_duplikaty_przyciskow_i_funkcji" description="Połączenie z zapytaniem „Przyciski_Kontroler1i2_duplikaty_przyciskow_i_funkcji” w skoroszycie." type="5" refreshedVersion="6" background="1" saveData="1">
    <dbPr connection="Provider=Microsoft.Mashup.OleDb.1;Data Source=$Workbook$;Location=Przyciski_Kontroler1i2_duplikaty_przyciskow_i_funkcji;Extended Properties=&quot;&quot;" command="SELECT * FROM [Przyciski_Kontroler1i2_duplikaty_przyciskow_i_funkcji]"/>
  </connection>
  <connection id="13" xr16:uid="{CE6102C0-A711-4CDB-B277-721566DD48B8}" keepAlive="1" name="Zapytanie — Przyciski_Kontroler2_duplikaty_funkcji" description="Połączenie z zapytaniem „Przyciski_Kontroler2_duplikaty_funkcji” w skoroszycie." type="5" refreshedVersion="6" background="1" saveData="1">
    <dbPr connection="Provider=Microsoft.Mashup.OleDb.1;Data Source=$Workbook$;Location=Przyciski_Kontroler2_duplikaty_funkcji;Extended Properties=&quot;&quot;" command="SELECT * FROM [Przyciski_Kontroler2_duplikaty_funkcji]"/>
  </connection>
  <connection id="14" xr16:uid="{223E2A48-C8E3-4EA0-90DD-28E072D5FC48}" keepAlive="1" name="Zapytanie — Przyciski_Kontroler2_duplikaty_przyciskow" description="Połączenie z zapytaniem „Przyciski_Kontroler2_duplikaty_przyciskow” w skoroszycie." type="5" refreshedVersion="6" background="1" saveData="1">
    <dbPr connection="Provider=Microsoft.Mashup.OleDb.1;Data Source=$Workbook$;Location=Przyciski_Kontroler2_duplikaty_przyciskow;Extended Properties=&quot;&quot;" command="SELECT * FROM [Przyciski_Kontroler2_duplikaty_przyciskow]"/>
  </connection>
  <connection id="15" xr16:uid="{3987C3C3-2E3B-4DD4-A6F6-71049430D425}" keepAlive="1" name="Zapytanie — Przyciski_Kontroler2_przyciski_WSZYSTKIE" description="Połączenie z zapytaniem „Przyciski_Kontroler2_przyciski_WSZYSTKIE” w skoroszycie." type="5" refreshedVersion="6" background="1" saveData="1">
    <dbPr connection="Provider=Microsoft.Mashup.OleDb.1;Data Source=$Workbook$;Location=Przyciski_Kontroler2_przyciski_WSZYSTKIE;Extended Properties=&quot;&quot;" command="SELECT * FROM [Przyciski_Kontroler2_przyciski_WSZYSTKIE]"/>
  </connection>
</connections>
</file>

<file path=xl/sharedStrings.xml><?xml version="1.0" encoding="utf-8"?>
<sst xmlns="http://schemas.openxmlformats.org/spreadsheetml/2006/main" count="619" uniqueCount="164">
  <si>
    <t>Kolumna1</t>
  </si>
  <si>
    <t>Kolumna2</t>
  </si>
  <si>
    <t>Kolumna3</t>
  </si>
  <si>
    <t>JOY_BTN1</t>
  </si>
  <si>
    <t>JOY_BTN2</t>
  </si>
  <si>
    <t>JOY_BTN3</t>
  </si>
  <si>
    <t>JOY_BTN4</t>
  </si>
  <si>
    <t>JOY_BTN5</t>
  </si>
  <si>
    <t>JOY_BTN6</t>
  </si>
  <si>
    <t>JOY_BTN7</t>
  </si>
  <si>
    <t>JOY_BTN8</t>
  </si>
  <si>
    <t>JOY_BTN9</t>
  </si>
  <si>
    <t>JOY_BTN10</t>
  </si>
  <si>
    <t>JOY_BTN11</t>
  </si>
  <si>
    <t>JOY_BTN12</t>
  </si>
  <si>
    <t>JOY_BTN13</t>
  </si>
  <si>
    <t>JOY_BTN14</t>
  </si>
  <si>
    <t>JOY_BTN15</t>
  </si>
  <si>
    <t>JOY_BTN16</t>
  </si>
  <si>
    <t>Przycisk</t>
  </si>
  <si>
    <t>JOY_BTN_POV1_U</t>
  </si>
  <si>
    <t>JOY_BTN_POV1_UR</t>
  </si>
  <si>
    <t>JOY_BTN_POV1_R</t>
  </si>
  <si>
    <t>JOY_BTN_POV1_DR</t>
  </si>
  <si>
    <t>JOY_BTN_POV1_L</t>
  </si>
  <si>
    <t>JOY_BTN_POV1_DL</t>
  </si>
  <si>
    <t>JOY_BTN_POV1_D</t>
  </si>
  <si>
    <t>JOY_BTN_POV1_UL</t>
  </si>
  <si>
    <t>JOY_X</t>
  </si>
  <si>
    <t>JOY_Y</t>
  </si>
  <si>
    <t>JOY_Z</t>
  </si>
  <si>
    <t>JOY_SLIDER1</t>
  </si>
  <si>
    <t>JOY_RZ</t>
  </si>
  <si>
    <t>Kontroler2</t>
  </si>
  <si>
    <t>Kontroler1</t>
  </si>
  <si>
    <t>Nazwa kontrolera</t>
  </si>
  <si>
    <t>Modyfikator1</t>
  </si>
  <si>
    <t>Modyfikator2</t>
  </si>
  <si>
    <t>Kroki do łatwiejszego życia
Steps to easier life</t>
  </si>
  <si>
    <t>Status inicjalizacji:
Initialisation status:</t>
  </si>
  <si>
    <t>Wybierz swój setup  ----------------------------------------------------------&gt;
Choose your setup  -----------------------------------------------------------&gt;</t>
  </si>
  <si>
    <t>ArmaForces - https://armaforces.com</t>
  </si>
  <si>
    <t>JOY_BTN17</t>
  </si>
  <si>
    <t>JOY_BTN18</t>
  </si>
  <si>
    <t>JOY_BTN19</t>
  </si>
  <si>
    <t>JOY_BTN20</t>
  </si>
  <si>
    <t>JOY_BTN21</t>
  </si>
  <si>
    <t>JOY_BTN22</t>
  </si>
  <si>
    <t>JOY_BTN23</t>
  </si>
  <si>
    <t>JOY_BTN24</t>
  </si>
  <si>
    <t>JOY_BTN25</t>
  </si>
  <si>
    <t>JOY_BTN26</t>
  </si>
  <si>
    <t>JOY_BTN27</t>
  </si>
  <si>
    <t>JOY_BTN28</t>
  </si>
  <si>
    <t>Warthog_Stick</t>
  </si>
  <si>
    <t>Warthog_Throttle</t>
  </si>
  <si>
    <t>X52_Stick</t>
  </si>
  <si>
    <t>X52_Throttle</t>
  </si>
  <si>
    <t>X52_Pro_Stick</t>
  </si>
  <si>
    <t>X52_Pro_Throttle</t>
  </si>
  <si>
    <t>Lp.
No.</t>
  </si>
  <si>
    <t>Kontroler 1
Controller 1</t>
  </si>
  <si>
    <t>A-10C</t>
  </si>
  <si>
    <t>AJS37</t>
  </si>
  <si>
    <t>AV8BNA</t>
  </si>
  <si>
    <t>Bf-109K-4</t>
  </si>
  <si>
    <t>C-101</t>
  </si>
  <si>
    <t>F-14</t>
  </si>
  <si>
    <t>F-15C</t>
  </si>
  <si>
    <t>F-16C</t>
  </si>
  <si>
    <t>F-86</t>
  </si>
  <si>
    <t>FA-18C_hornet</t>
  </si>
  <si>
    <t>FW-190A8</t>
  </si>
  <si>
    <t>FW-190D9</t>
  </si>
  <si>
    <t>Hawk</t>
  </si>
  <si>
    <t>I-16</t>
  </si>
  <si>
    <t>J-11A</t>
  </si>
  <si>
    <t>JF-17</t>
  </si>
  <si>
    <t>Ka-50</t>
  </si>
  <si>
    <t>L-39</t>
  </si>
  <si>
    <t>M-2000C</t>
  </si>
  <si>
    <t>Mi-8MT</t>
  </si>
  <si>
    <t>MiG-15bis</t>
  </si>
  <si>
    <t>MiG-19P</t>
  </si>
  <si>
    <t>MiG-21Bis</t>
  </si>
  <si>
    <t>MiG-29A</t>
  </si>
  <si>
    <t>MiG-29G</t>
  </si>
  <si>
    <t>MiG-29S</t>
  </si>
  <si>
    <t>P-51D</t>
  </si>
  <si>
    <t>P-51D-30-NA</t>
  </si>
  <si>
    <t>SA342</t>
  </si>
  <si>
    <t>SpitfireLFMkIX</t>
  </si>
  <si>
    <t>SpitfireLFMkIXCW</t>
  </si>
  <si>
    <t>Su-25</t>
  </si>
  <si>
    <t>Su-25T</t>
  </si>
  <si>
    <t>Su-27</t>
  </si>
  <si>
    <t>Su-33</t>
  </si>
  <si>
    <t>TF-51D</t>
  </si>
  <si>
    <t>Uh-1H</t>
  </si>
  <si>
    <t>Yak-52</t>
  </si>
  <si>
    <t>Christen Eagle II</t>
  </si>
  <si>
    <t>A-10A</t>
  </si>
  <si>
    <t>Nazwa samolotu</t>
  </si>
  <si>
    <t>Status wizualizacji:
Visualization status: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</si>
  <si>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</si>
  <si>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</si>
  <si>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</si>
  <si>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</si>
  <si>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</si>
  <si>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</si>
  <si>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</si>
  <si>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</si>
  <si>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</si>
  <si>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</si>
  <si>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</si>
  <si>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JOY_BTN29</t>
  </si>
  <si>
    <t>JOY_BTN30</t>
  </si>
  <si>
    <t>JOY_BTN31</t>
  </si>
  <si>
    <t>JOY_BTN32</t>
  </si>
  <si>
    <t>NIEWYKONANA
NOT PERFORMED</t>
  </si>
  <si>
    <t>JOY_BTN33</t>
  </si>
  <si>
    <t>JOY_BTN34</t>
  </si>
  <si>
    <t>JOY_BTN35</t>
  </si>
  <si>
    <t>JOY_BTN36</t>
  </si>
  <si>
    <t>JOY_BTN37</t>
  </si>
  <si>
    <t>JOY_BTN38</t>
  </si>
  <si>
    <t>JOY_BTN39</t>
  </si>
  <si>
    <t>JOY_RY</t>
  </si>
  <si>
    <t>JOY_RX</t>
  </si>
  <si>
    <t>T.16000M_Stick</t>
  </si>
  <si>
    <t>T.16000M_FCS_Stick</t>
  </si>
  <si>
    <t>TWCS_Throttle</t>
  </si>
  <si>
    <t>T50CM2_Stick</t>
  </si>
  <si>
    <t>Force_3D_Pro_Stick</t>
  </si>
  <si>
    <t>Extreme_3D_Pro_Stick</t>
  </si>
  <si>
    <r>
      <rPr>
        <b/>
        <u/>
        <sz val="11"/>
        <color rgb="FFFF0000"/>
        <rFont val="Calibri"/>
        <family val="2"/>
        <charset val="238"/>
        <scheme val="minor"/>
      </rPr>
      <t>OSTRZEŻENIE/WYŁĄCZENIE ODPOWIEDZIALNOŚCI:</t>
    </r>
    <r>
      <rPr>
        <sz val="11"/>
        <color rgb="FFFF0000"/>
        <rFont val="Calibri"/>
        <family val="2"/>
        <charset val="238"/>
        <scheme val="minor"/>
      </rPr>
      <t xml:space="preserve"> 
Narzędzie zostało przetestowane w zakresie współpracy z programem PDF-Xchange® Editor Wersja 8.0 kompilacja 336 Przenośny.</t>
    </r>
    <r>
      <rPr>
        <b/>
        <sz val="16"/>
        <color rgb="FFFF0000"/>
        <rFont val="Calibri"/>
        <family val="2"/>
        <charset val="238"/>
        <scheme val="minor"/>
      </rPr>
      <t xml:space="preserve"> 
Używaj na własną odpowiedzialność. </t>
    </r>
    <r>
      <rPr>
        <b/>
        <u/>
        <sz val="11"/>
        <color rgb="FFFF0000"/>
        <rFont val="Calibri"/>
        <family val="2"/>
        <charset val="238"/>
        <scheme val="minor"/>
      </rPr>
      <t xml:space="preserve">
WARNING/DISCLAIMER: 
</t>
    </r>
    <r>
      <rPr>
        <sz val="11"/>
        <color rgb="FFFF0000"/>
        <rFont val="Calibri"/>
        <family val="2"/>
        <charset val="238"/>
        <scheme val="minor"/>
      </rPr>
      <t xml:space="preserve">Tool has been checked to work with PDF-Xchange® Editor Version 8.0 compilation 336 Portable.  
</t>
    </r>
    <r>
      <rPr>
        <b/>
        <sz val="16"/>
        <color rgb="FFFF0000"/>
        <rFont val="Calibri"/>
        <family val="2"/>
        <charset val="238"/>
        <scheme val="minor"/>
      </rPr>
      <t xml:space="preserve">Use at your own risk. </t>
    </r>
  </si>
  <si>
    <t xml:space="preserve">       "B I N D U L A T O R" </t>
  </si>
  <si>
    <t>Ilosc duplikatow przyciskow</t>
  </si>
  <si>
    <t>Ilosc wszystkich duplikatow przyciskow</t>
  </si>
  <si>
    <t>Czy sa duplikaty przyciskow Kontrolera 1?</t>
  </si>
  <si>
    <t>Czy sa duplikaty funkcji Kontrolera 1?</t>
  </si>
  <si>
    <t>Ilosc duplikatow funkcji</t>
  </si>
  <si>
    <t>Ilosc wszystkich duplikatow funkcji</t>
  </si>
  <si>
    <t>Czy sa duplikaty przyciskow Kontrolera 2?</t>
  </si>
  <si>
    <t>Ilosc wszystkich duplikatow przyciskow i funkcji</t>
  </si>
  <si>
    <t>Funkcja</t>
  </si>
  <si>
    <t>Kategoria funkcji</t>
  </si>
  <si>
    <t>Funkcja MOD1</t>
  </si>
  <si>
    <t>Kategoria funkcji MOD1</t>
  </si>
  <si>
    <t>Funkcja MOD2</t>
  </si>
  <si>
    <t>Kategoria funkcji MOD2</t>
  </si>
  <si>
    <t>X56_Rhino_Stick</t>
  </si>
  <si>
    <t>X56_Rhino_Throttle</t>
  </si>
  <si>
    <r>
      <t xml:space="preserve">Kontroler 2
Controller 2
</t>
    </r>
    <r>
      <rPr>
        <b/>
        <sz val="11"/>
        <color rgb="FFFF0000"/>
        <rFont val="Calibri"/>
        <family val="2"/>
        <charset val="238"/>
        <scheme val="minor"/>
      </rPr>
      <t>(only for a DUAL Template)</t>
    </r>
  </si>
  <si>
    <t>Statek powietrzny
Aircraft</t>
  </si>
  <si>
    <t>DCS_Forces - https://discord.gg/3FFdNEg</t>
  </si>
  <si>
    <t>JOY_SLIDER2</t>
  </si>
  <si>
    <t>F-5E-3</t>
  </si>
  <si>
    <t>Status eksportu Kneeboarda:
Kneeboard export status:</t>
  </si>
  <si>
    <t>NIEWYKONANY
NOT PERFORMED</t>
  </si>
  <si>
    <r>
      <rPr>
        <b/>
        <sz val="11"/>
        <color theme="1"/>
        <rFont val="Calibri"/>
        <family val="2"/>
        <charset val="238"/>
        <scheme val="minor"/>
      </rPr>
      <t xml:space="preserve">PL: </t>
    </r>
    <r>
      <rPr>
        <sz val="11"/>
        <color theme="1"/>
        <rFont val="Calibri"/>
        <family val="2"/>
        <charset val="238"/>
        <scheme val="minor"/>
      </rPr>
      <t xml:space="preserve">Narzędzie do wizualizacji bindów z Digital Combat Simulator (DCS). Wszystkie prawa do narzędzia są zastrzeżone przez 'norekdcs2020' (GPLv2). 
Nie zgadzam się na płatne ani komercyjne wykorzystywanie narzędzia. Kontaktuj się ze mną przez:
</t>
    </r>
    <r>
      <rPr>
        <b/>
        <sz val="11"/>
        <color theme="1"/>
        <rFont val="Calibri"/>
        <family val="2"/>
        <charset val="238"/>
        <scheme val="minor"/>
      </rPr>
      <t xml:space="preserve">EN: </t>
    </r>
    <r>
      <rPr>
        <sz val="11"/>
        <color theme="1"/>
        <rFont val="Calibri"/>
        <family val="2"/>
        <charset val="238"/>
        <scheme val="minor"/>
      </rPr>
      <t xml:space="preserve">Tool for Digital Combat Simulator (DCS) bind visualization. All rights to the tool are reserved by 'norekdcs2020' (GPLv2). 
I do not consent to any paid or commercial use of the tool. Contact me via:
</t>
    </r>
    <r>
      <rPr>
        <u/>
        <sz val="11"/>
        <rFont val="Calibri"/>
        <family val="2"/>
        <charset val="238"/>
        <scheme val="minor"/>
      </rPr>
      <t>https://github.com/norekdcs2020/Bindulator/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norekdcs2020@gmail.com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https://forums.eagle.ru/showthread.php?p=4282144</t>
    </r>
  </si>
  <si>
    <t>v0.304</t>
  </si>
  <si>
    <t>Cougar_MFD_Left</t>
  </si>
  <si>
    <t>Cougar_MFD_Right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</si>
</sst>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8"/>
      <color theme="2" tint="-0.499984740745262"/>
      <name val="Wingdings 3"/>
      <family val="1"/>
      <charset val="2"/>
    </font>
    <font>
      <u/>
      <sz val="1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sz val="12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20"/>
      <color rgb="FFFF0000"/>
      <name val="Calibri"/>
      <family val="2"/>
      <charset val="238"/>
      <scheme val="minor"/>
    </font>
    <font>
      <sz val="11"/>
      <color rgb="FF6600CC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0"/>
      <color theme="1"/>
      <name val="Arial Unicode MS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26">
    <xf numFmtId="0" fontId="0" fillId="0" borderId="0" xfId="0"/>
    <xf numFmtId="0" fontId="18" fillId="0" borderId="10" xfId="0" applyFont="1" applyBorder="1" applyAlignment="1">
      <alignment wrapText="1"/>
    </xf>
    <xf numFmtId="0" fontId="18" fillId="34" borderId="10" xfId="0" applyFont="1" applyFill="1" applyBorder="1" applyAlignment="1">
      <alignment wrapText="1"/>
    </xf>
    <xf numFmtId="0" fontId="19" fillId="34" borderId="10" xfId="0" applyFont="1" applyFill="1" applyBorder="1" applyAlignment="1">
      <alignment wrapText="1"/>
    </xf>
    <xf numFmtId="0" fontId="19" fillId="0" borderId="10" xfId="0" applyFont="1" applyBorder="1" applyAlignment="1">
      <alignment wrapText="1"/>
    </xf>
    <xf numFmtId="0" fontId="18" fillId="34" borderId="11" xfId="0" applyFont="1" applyFill="1" applyBorder="1" applyAlignment="1">
      <alignment wrapText="1"/>
    </xf>
    <xf numFmtId="0" fontId="18" fillId="0" borderId="11" xfId="0" applyFont="1" applyBorder="1" applyAlignment="1">
      <alignment wrapText="1"/>
    </xf>
    <xf numFmtId="0" fontId="20" fillId="33" borderId="0" xfId="0" applyFont="1" applyFill="1" applyBorder="1" applyAlignment="1">
      <alignment wrapText="1"/>
    </xf>
    <xf numFmtId="0" fontId="20" fillId="33" borderId="12" xfId="0" applyFont="1" applyFill="1" applyBorder="1" applyAlignment="1">
      <alignment wrapText="1"/>
    </xf>
    <xf numFmtId="0" fontId="0" fillId="34" borderId="14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3" fillId="33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6" fillId="35" borderId="0" xfId="0" applyFont="1" applyFill="1" applyBorder="1" applyAlignment="1">
      <alignment horizontal="left" vertical="center"/>
    </xf>
    <xf numFmtId="0" fontId="0" fillId="35" borderId="17" xfId="0" applyFont="1" applyFill="1" applyBorder="1"/>
    <xf numFmtId="0" fontId="0" fillId="35" borderId="18" xfId="0" applyFont="1" applyFill="1" applyBorder="1"/>
    <xf numFmtId="0" fontId="0" fillId="0" borderId="0" xfId="0" applyFont="1"/>
    <xf numFmtId="0" fontId="0" fillId="35" borderId="0" xfId="0" applyFont="1" applyFill="1" applyBorder="1"/>
    <xf numFmtId="0" fontId="0" fillId="35" borderId="20" xfId="0" applyFont="1" applyFill="1" applyBorder="1"/>
    <xf numFmtId="0" fontId="0" fillId="35" borderId="0" xfId="0" applyFont="1" applyFill="1" applyBorder="1" applyAlignment="1">
      <alignment horizontal="left" vertical="center"/>
    </xf>
    <xf numFmtId="0" fontId="0" fillId="35" borderId="22" xfId="0" applyFont="1" applyFill="1" applyBorder="1"/>
    <xf numFmtId="0" fontId="0" fillId="35" borderId="23" xfId="0" applyFont="1" applyFill="1" applyBorder="1"/>
    <xf numFmtId="0" fontId="0" fillId="0" borderId="0" xfId="0" applyFont="1" applyAlignment="1">
      <alignment horizontal="center" vertical="center"/>
    </xf>
    <xf numFmtId="0" fontId="0" fillId="35" borderId="29" xfId="0" applyFont="1" applyFill="1" applyBorder="1"/>
    <xf numFmtId="0" fontId="0" fillId="36" borderId="27" xfId="0" applyFont="1" applyFill="1" applyBorder="1" applyAlignment="1">
      <alignment horizontal="center"/>
    </xf>
    <xf numFmtId="0" fontId="27" fillId="37" borderId="31" xfId="42" applyFont="1" applyFill="1" applyBorder="1" applyAlignment="1">
      <alignment horizontal="left" vertical="top"/>
    </xf>
    <xf numFmtId="0" fontId="28" fillId="35" borderId="19" xfId="0" applyFont="1" applyFill="1" applyBorder="1" applyAlignment="1">
      <alignment horizontal="center" vertical="center"/>
    </xf>
    <xf numFmtId="0" fontId="0" fillId="35" borderId="0" xfId="0" applyFill="1"/>
    <xf numFmtId="0" fontId="0" fillId="35" borderId="0" xfId="0" applyFont="1" applyFill="1"/>
    <xf numFmtId="0" fontId="0" fillId="35" borderId="0" xfId="0" applyFont="1" applyFill="1" applyAlignment="1">
      <alignment horizontal="center" vertical="center"/>
    </xf>
    <xf numFmtId="0" fontId="0" fillId="35" borderId="25" xfId="0" applyFont="1" applyFill="1" applyBorder="1"/>
    <xf numFmtId="0" fontId="21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29" fillId="35" borderId="28" xfId="0" applyFont="1" applyFill="1" applyBorder="1" applyAlignment="1">
      <alignment horizontal="center" vertical="center" wrapText="1"/>
    </xf>
    <xf numFmtId="0" fontId="36" fillId="35" borderId="28" xfId="0" applyFont="1" applyFill="1" applyBorder="1"/>
    <xf numFmtId="0" fontId="16" fillId="0" borderId="0" xfId="0" applyFont="1" applyAlignment="1">
      <alignment horizontal="center"/>
    </xf>
    <xf numFmtId="0" fontId="0" fillId="35" borderId="16" xfId="0" applyFont="1" applyFill="1" applyBorder="1" applyAlignment="1">
      <alignment wrapText="1"/>
    </xf>
    <xf numFmtId="0" fontId="0" fillId="35" borderId="17" xfId="0" applyFont="1" applyFill="1" applyBorder="1" applyAlignment="1"/>
    <xf numFmtId="0" fontId="0" fillId="35" borderId="18" xfId="0" applyFont="1" applyFill="1" applyBorder="1" applyAlignment="1"/>
    <xf numFmtId="0" fontId="0" fillId="35" borderId="19" xfId="0" applyFont="1" applyFill="1" applyBorder="1" applyAlignment="1">
      <alignment wrapText="1"/>
    </xf>
    <xf numFmtId="0" fontId="0" fillId="35" borderId="0" xfId="0" applyFont="1" applyFill="1" applyBorder="1" applyAlignment="1"/>
    <xf numFmtId="0" fontId="0" fillId="35" borderId="20" xfId="0" applyFont="1" applyFill="1" applyBorder="1" applyAlignment="1"/>
    <xf numFmtId="0" fontId="0" fillId="35" borderId="19" xfId="0" applyFont="1" applyFill="1" applyBorder="1" applyAlignment="1"/>
    <xf numFmtId="0" fontId="0" fillId="35" borderId="21" xfId="0" applyFont="1" applyFill="1" applyBorder="1" applyAlignment="1"/>
    <xf numFmtId="0" fontId="0" fillId="35" borderId="22" xfId="0" applyFont="1" applyFill="1" applyBorder="1" applyAlignment="1"/>
    <xf numFmtId="0" fontId="0" fillId="35" borderId="23" xfId="0" applyFont="1" applyFill="1" applyBorder="1" applyAlignment="1"/>
    <xf numFmtId="0" fontId="14" fillId="35" borderId="0" xfId="0" applyFont="1" applyFill="1" applyBorder="1" applyAlignment="1">
      <alignment vertical="center" wrapText="1"/>
    </xf>
    <xf numFmtId="0" fontId="14" fillId="35" borderId="0" xfId="0" applyFont="1" applyFill="1" applyBorder="1" applyAlignment="1">
      <alignment vertical="center"/>
    </xf>
    <xf numFmtId="0" fontId="26" fillId="35" borderId="0" xfId="42" applyFill="1" applyBorder="1" applyAlignment="1">
      <alignment vertical="top"/>
    </xf>
    <xf numFmtId="0" fontId="26" fillId="35" borderId="0" xfId="42" applyFill="1" applyBorder="1" applyAlignment="1">
      <alignment horizontal="center" vertical="top"/>
    </xf>
    <xf numFmtId="0" fontId="0" fillId="35" borderId="30" xfId="0" applyFont="1" applyFill="1" applyBorder="1"/>
    <xf numFmtId="0" fontId="30" fillId="35" borderId="0" xfId="0" applyFont="1" applyFill="1" applyBorder="1" applyAlignment="1">
      <alignment horizontal="center" vertical="center" wrapText="1"/>
    </xf>
    <xf numFmtId="0" fontId="37" fillId="35" borderId="0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28" xfId="0" applyFont="1" applyFill="1" applyBorder="1" applyAlignment="1">
      <alignment horizontal="center" vertical="center"/>
    </xf>
    <xf numFmtId="0" fontId="0" fillId="35" borderId="29" xfId="0" applyFont="1" applyFill="1" applyBorder="1" applyAlignment="1"/>
    <xf numFmtId="0" fontId="0" fillId="35" borderId="0" xfId="0" applyFont="1" applyFill="1" applyBorder="1" applyAlignment="1">
      <alignment wrapText="1"/>
    </xf>
    <xf numFmtId="0" fontId="0" fillId="35" borderId="21" xfId="0" applyFont="1" applyFill="1" applyBorder="1" applyAlignment="1">
      <alignment vertical="center"/>
    </xf>
    <xf numFmtId="0" fontId="0" fillId="35" borderId="22" xfId="0" applyFont="1" applyFill="1" applyBorder="1" applyAlignment="1">
      <alignment vertical="center"/>
    </xf>
    <xf numFmtId="0" fontId="0" fillId="35" borderId="29" xfId="0" applyFont="1" applyFill="1" applyBorder="1" applyAlignment="1">
      <alignment vertical="center"/>
    </xf>
    <xf numFmtId="0" fontId="16" fillId="35" borderId="22" xfId="0" applyFont="1" applyFill="1" applyBorder="1" applyAlignment="1">
      <alignment horizontal="left" vertical="center"/>
    </xf>
    <xf numFmtId="0" fontId="27" fillId="37" borderId="32" xfId="42" applyFont="1" applyFill="1" applyBorder="1" applyAlignment="1">
      <alignment horizontal="left" vertical="top"/>
    </xf>
    <xf numFmtId="0" fontId="0" fillId="0" borderId="0" xfId="0" applyAlignment="1">
      <alignment horizontal="center" vertical="center" shrinkToFit="1"/>
    </xf>
    <xf numFmtId="0" fontId="13" fillId="39" borderId="33" xfId="0" applyFon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/>
    </xf>
    <xf numFmtId="0" fontId="21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21" fillId="41" borderId="0" xfId="0" applyFont="1" applyFill="1" applyAlignment="1">
      <alignment horizontal="center" vertical="center" shrinkToFit="1"/>
    </xf>
    <xf numFmtId="0" fontId="21" fillId="41" borderId="0" xfId="0" applyFont="1" applyFill="1" applyAlignment="1">
      <alignment horizontal="center"/>
    </xf>
    <xf numFmtId="0" fontId="1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0" fillId="35" borderId="0" xfId="0" applyFont="1" applyFill="1" applyBorder="1" applyAlignment="1">
      <alignment vertical="center" wrapText="1"/>
    </xf>
    <xf numFmtId="0" fontId="40" fillId="0" borderId="0" xfId="0" applyFont="1"/>
    <xf numFmtId="0" fontId="0" fillId="35" borderId="16" xfId="0" applyFont="1" applyFill="1" applyBorder="1" applyAlignment="1">
      <alignment horizontal="center" vertical="center" wrapText="1"/>
    </xf>
    <xf numFmtId="0" fontId="0" fillId="35" borderId="17" xfId="0" applyFont="1" applyFill="1" applyBorder="1" applyAlignment="1">
      <alignment horizontal="center" vertical="center"/>
    </xf>
    <xf numFmtId="0" fontId="0" fillId="35" borderId="18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0" xfId="0" applyFont="1" applyFill="1" applyBorder="1" applyAlignment="1">
      <alignment horizontal="center" vertical="center"/>
    </xf>
    <xf numFmtId="0" fontId="0" fillId="35" borderId="20" xfId="0" applyFont="1" applyFill="1" applyBorder="1" applyAlignment="1">
      <alignment horizontal="center" vertical="center"/>
    </xf>
    <xf numFmtId="0" fontId="0" fillId="35" borderId="21" xfId="0" applyFont="1" applyFill="1" applyBorder="1" applyAlignment="1">
      <alignment horizontal="center" vertical="center"/>
    </xf>
    <xf numFmtId="0" fontId="0" fillId="35" borderId="22" xfId="0" applyFont="1" applyFill="1" applyBorder="1" applyAlignment="1">
      <alignment horizontal="center" vertical="center"/>
    </xf>
    <xf numFmtId="0" fontId="0" fillId="35" borderId="23" xfId="0" applyFont="1" applyFill="1" applyBorder="1" applyAlignment="1">
      <alignment horizontal="center" vertical="center"/>
    </xf>
    <xf numFmtId="0" fontId="0" fillId="35" borderId="24" xfId="0" applyFont="1" applyFill="1" applyBorder="1" applyAlignment="1">
      <alignment horizontal="center" vertical="center"/>
    </xf>
    <xf numFmtId="0" fontId="0" fillId="35" borderId="25" xfId="0" applyFont="1" applyFill="1" applyBorder="1" applyAlignment="1">
      <alignment horizontal="center" vertical="center"/>
    </xf>
    <xf numFmtId="0" fontId="0" fillId="35" borderId="26" xfId="0" applyFont="1" applyFill="1" applyBorder="1" applyAlignment="1">
      <alignment horizontal="center" vertical="center"/>
    </xf>
    <xf numFmtId="0" fontId="0" fillId="35" borderId="17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/>
    </xf>
    <xf numFmtId="0" fontId="25" fillId="35" borderId="0" xfId="0" applyFont="1" applyFill="1" applyBorder="1" applyAlignment="1">
      <alignment horizontal="left" vertical="top" wrapText="1"/>
    </xf>
    <xf numFmtId="0" fontId="25" fillId="35" borderId="0" xfId="0" applyFont="1" applyFill="1" applyBorder="1" applyAlignment="1">
      <alignment horizontal="left" vertical="top"/>
    </xf>
    <xf numFmtId="0" fontId="29" fillId="35" borderId="28" xfId="0" applyFont="1" applyFill="1" applyBorder="1" applyAlignment="1">
      <alignment horizontal="center" vertical="center" wrapText="1"/>
    </xf>
    <xf numFmtId="0" fontId="29" fillId="35" borderId="29" xfId="0" applyFont="1" applyFill="1" applyBorder="1" applyAlignment="1">
      <alignment horizontal="center" vertical="center" wrapText="1"/>
    </xf>
    <xf numFmtId="0" fontId="29" fillId="35" borderId="30" xfId="0" applyFont="1" applyFill="1" applyBorder="1" applyAlignment="1">
      <alignment horizontal="center" vertical="center" wrapText="1"/>
    </xf>
    <xf numFmtId="0" fontId="37" fillId="35" borderId="16" xfId="0" applyFont="1" applyFill="1" applyBorder="1" applyAlignment="1">
      <alignment horizontal="center" vertical="center" wrapText="1"/>
    </xf>
    <xf numFmtId="0" fontId="37" fillId="35" borderId="17" xfId="0" applyFont="1" applyFill="1" applyBorder="1" applyAlignment="1">
      <alignment horizontal="center" vertical="center"/>
    </xf>
    <xf numFmtId="0" fontId="37" fillId="35" borderId="18" xfId="0" applyFont="1" applyFill="1" applyBorder="1" applyAlignment="1">
      <alignment horizontal="center" vertical="center"/>
    </xf>
    <xf numFmtId="0" fontId="37" fillId="35" borderId="19" xfId="0" applyFont="1" applyFill="1" applyBorder="1" applyAlignment="1">
      <alignment horizontal="center" vertical="center"/>
    </xf>
    <xf numFmtId="0" fontId="37" fillId="35" borderId="0" xfId="0" applyFont="1" applyFill="1" applyBorder="1" applyAlignment="1">
      <alignment horizontal="center" vertical="center"/>
    </xf>
    <xf numFmtId="0" fontId="37" fillId="35" borderId="20" xfId="0" applyFont="1" applyFill="1" applyBorder="1" applyAlignment="1">
      <alignment horizontal="center" vertical="center"/>
    </xf>
    <xf numFmtId="0" fontId="37" fillId="35" borderId="21" xfId="0" applyFont="1" applyFill="1" applyBorder="1" applyAlignment="1">
      <alignment horizontal="center" vertical="center"/>
    </xf>
    <xf numFmtId="0" fontId="37" fillId="35" borderId="22" xfId="0" applyFont="1" applyFill="1" applyBorder="1" applyAlignment="1">
      <alignment horizontal="center" vertical="center"/>
    </xf>
    <xf numFmtId="0" fontId="37" fillId="35" borderId="23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14" fillId="35" borderId="16" xfId="0" applyFont="1" applyFill="1" applyBorder="1" applyAlignment="1">
      <alignment horizontal="center" vertical="center" wrapText="1"/>
    </xf>
    <xf numFmtId="0" fontId="14" fillId="35" borderId="17" xfId="0" applyFont="1" applyFill="1" applyBorder="1" applyAlignment="1">
      <alignment horizontal="center" vertical="center" wrapText="1"/>
    </xf>
    <xf numFmtId="0" fontId="14" fillId="35" borderId="18" xfId="0" applyFont="1" applyFill="1" applyBorder="1" applyAlignment="1">
      <alignment horizontal="center" vertical="center" wrapText="1"/>
    </xf>
    <xf numFmtId="0" fontId="0" fillId="38" borderId="28" xfId="0" applyFont="1" applyFill="1" applyBorder="1" applyAlignment="1">
      <alignment horizontal="center" vertical="center"/>
    </xf>
    <xf numFmtId="0" fontId="0" fillId="38" borderId="29" xfId="0" applyFont="1" applyFill="1" applyBorder="1" applyAlignment="1">
      <alignment horizontal="center" vertical="center"/>
    </xf>
    <xf numFmtId="0" fontId="0" fillId="38" borderId="30" xfId="0" applyFont="1" applyFill="1" applyBorder="1" applyAlignment="1">
      <alignment horizontal="center" vertical="center"/>
    </xf>
    <xf numFmtId="0" fontId="30" fillId="35" borderId="20" xfId="0" applyFont="1" applyFill="1" applyBorder="1" applyAlignment="1">
      <alignment horizontal="center" vertical="center" wrapText="1"/>
    </xf>
    <xf numFmtId="0" fontId="30" fillId="35" borderId="0" xfId="0" applyFont="1" applyFill="1" applyBorder="1" applyAlignment="1">
      <alignment horizontal="center" vertical="center" wrapText="1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Hiperłącze" xfId="42" builtinId="8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10"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CC"/>
      <color rgb="FF9900FF"/>
      <color rgb="FFCC99FF"/>
      <color rgb="FFFF99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rmaforces.com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discord.gg/TftJtq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47625</xdr:rowOff>
        </xdr:from>
        <xdr:to>
          <xdr:col>4</xdr:col>
          <xdr:colOff>542925</xdr:colOff>
          <xdr:row>9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1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1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57150</xdr:rowOff>
        </xdr:from>
        <xdr:to>
          <xdr:col>4</xdr:col>
          <xdr:colOff>533400</xdr:colOff>
          <xdr:row>12</xdr:row>
          <xdr:rowOff>133350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2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2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</xdr:row>
          <xdr:rowOff>57150</xdr:rowOff>
        </xdr:from>
        <xdr:to>
          <xdr:col>4</xdr:col>
          <xdr:colOff>533400</xdr:colOff>
          <xdr:row>18</xdr:row>
          <xdr:rowOff>133350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szablon PDF, który jest kompatybilny z Twoim setupem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template that is compatible with your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19</xdr:row>
          <xdr:rowOff>57150</xdr:rowOff>
        </xdr:from>
        <xdr:to>
          <xdr:col>4</xdr:col>
          <xdr:colOff>533400</xdr:colOff>
          <xdr:row>21</xdr:row>
          <xdr:rowOff>133350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 zapisu dla pliku PDF z wizualizacją bindów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saving PDF file with bind visualization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13</xdr:row>
          <xdr:rowOff>57150</xdr:rowOff>
        </xdr:from>
        <xdr:to>
          <xdr:col>4</xdr:col>
          <xdr:colOff>533400</xdr:colOff>
          <xdr:row>15</xdr:row>
          <xdr:rowOff>133350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Zainicjalizuj dane</a:t>
              </a:r>
              <a:endParaRPr lang="pl-PL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361950</xdr:colOff>
      <xdr:row>1</xdr:row>
      <xdr:rowOff>281305</xdr:rowOff>
    </xdr:from>
    <xdr:to>
      <xdr:col>8</xdr:col>
      <xdr:colOff>542925</xdr:colOff>
      <xdr:row>2</xdr:row>
      <xdr:rowOff>614992</xdr:rowOff>
    </xdr:to>
    <xdr:pic>
      <xdr:nvPicPr>
        <xdr:cNvPr id="4" name="Obraz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53700" y="471805"/>
          <a:ext cx="1743075" cy="1695762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/>
        <a:scene3d>
          <a:camera prst="orthographicFront"/>
          <a:lightRig rig="threePt" dir="t">
            <a:rot lat="0" lon="0" rev="2700000"/>
          </a:lightRig>
        </a:scene3d>
        <a:sp3d>
          <a:contourClr>
            <a:srgbClr val="C0C0C0"/>
          </a:contourClr>
        </a:sp3d>
      </xdr:spPr>
    </xdr:pic>
    <xdr:clientData/>
  </xdr:twoCellAnchor>
  <xdr:twoCellAnchor editAs="oneCell">
    <xdr:from>
      <xdr:col>9</xdr:col>
      <xdr:colOff>1266825</xdr:colOff>
      <xdr:row>1</xdr:row>
      <xdr:rowOff>200500</xdr:rowOff>
    </xdr:from>
    <xdr:to>
      <xdr:col>13</xdr:col>
      <xdr:colOff>57149</xdr:colOff>
      <xdr:row>2</xdr:row>
      <xdr:rowOff>686274</xdr:rowOff>
    </xdr:to>
    <xdr:pic>
      <xdr:nvPicPr>
        <xdr:cNvPr id="11" name="Obraz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763750" y="391000"/>
          <a:ext cx="1847849" cy="1847849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22</xdr:row>
          <xdr:rowOff>57150</xdr:rowOff>
        </xdr:from>
        <xdr:to>
          <xdr:col>4</xdr:col>
          <xdr:colOff>533400</xdr:colOff>
          <xdr:row>24</xdr:row>
          <xdr:rowOff>133350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Wskaż lokalizację pliku .exe Twojego edytora PDF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 to .exe file of your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26</xdr:row>
          <xdr:rowOff>47625</xdr:rowOff>
        </xdr:from>
        <xdr:to>
          <xdr:col>4</xdr:col>
          <xdr:colOff>533400</xdr:colOff>
          <xdr:row>28</xdr:row>
          <xdr:rowOff>123825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wizualizację bindów na podstawie poprzednich kroków za pomocą wskazanego edytora PDF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bind visualization based on previous steps data with selected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32</xdr:row>
          <xdr:rowOff>47625</xdr:rowOff>
        </xdr:from>
        <xdr:to>
          <xdr:col>4</xdr:col>
          <xdr:colOff>533400</xdr:colOff>
          <xdr:row>34</xdr:row>
          <xdr:rowOff>123825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PDF do eksportowania do Kneeboarda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file to export to Kneeboard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4067175</xdr:colOff>
      <xdr:row>1</xdr:row>
      <xdr:rowOff>1295400</xdr:rowOff>
    </xdr:from>
    <xdr:to>
      <xdr:col>3</xdr:col>
      <xdr:colOff>6331744</xdr:colOff>
      <xdr:row>2</xdr:row>
      <xdr:rowOff>714375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19750" y="1485900"/>
          <a:ext cx="2264569" cy="781050"/>
          <a:chOff x="6534150" y="1314450"/>
          <a:chExt cx="2264569" cy="781050"/>
        </a:xfrm>
      </xdr:grpSpPr>
      <xdr:pic>
        <xdr:nvPicPr>
          <xdr:cNvPr id="14" name="Obraz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34250" y="1314450"/>
            <a:ext cx="1464469" cy="7810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Obraz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34150" y="1343025"/>
            <a:ext cx="619125" cy="742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35</xdr:row>
          <xdr:rowOff>47625</xdr:rowOff>
        </xdr:from>
        <xdr:to>
          <xdr:col>4</xdr:col>
          <xdr:colOff>533400</xdr:colOff>
          <xdr:row>37</xdr:row>
          <xdr:rowOff>123825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główny folder Kneeboarda - np. "(…)/Saved Games/DCS.openbeta/Kneeboard"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Kneeboard main folder - e.g. "(…)/Saved Games/DCS.openbeta/Kneeboard"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38</xdr:row>
          <xdr:rowOff>47625</xdr:rowOff>
        </xdr:from>
        <xdr:to>
          <xdr:col>4</xdr:col>
          <xdr:colOff>533400</xdr:colOff>
          <xdr:row>40</xdr:row>
          <xdr:rowOff>123825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plik PDF do folderu Kneeboarda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PDF file to Kneeboard folder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growShrinkType="overwriteClear" adjustColumnWidth="0" connectionId="1" xr16:uid="{16471145-5BE1-4A32-A112-9E7BE267557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growShrinkType="overwriteClear" adjustColumnWidth="0" connectionId="4" xr16:uid="{FC70FA1B-55F3-4A4F-8983-4423049848EF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growShrinkType="overwriteClear" adjustColumnWidth="0" connectionId="3" xr16:uid="{710C41E0-DC00-45B7-A1D2-11BA23001C91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growShrinkType="overwriteClear" adjustColumnWidth="0" connectionId="2" xr16:uid="{E7B23615-6304-4A36-9C78-7375474D903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growShrinkType="overwriteClear" adjustColumnWidth="0" connectionId="5" xr16:uid="{2A1A4C3D-3401-4E95-8490-F815B23B32A9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growShrinkType="overwriteClear" adjustColumnWidth="0" connectionId="6" xr16:uid="{41BCE054-4BA1-4C1E-8F41-25E975A59840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growShrinkType="overwriteClear" adjustColumnWidth="0" connectionId="8" xr16:uid="{791312E5-8F23-4474-AF65-EBECB0C6189E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growShrinkType="overwriteClear" adjustColumnWidth="0" connectionId="7" xr16:uid="{FA08ABC1-469C-4287-9F48-9700F102D2DD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growShrinkType="overwriteClear" adjustColumnWidth="0" connectionId="14" xr16:uid="{3CF34EAB-0C45-47CF-8119-4297EF7416F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growShrinkType="overwriteClear" adjustColumnWidth="0" connectionId="13" xr16:uid="{37DB3AF3-4552-4278-8237-2026B2D88A7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growShrinkType="overwriteClear" adjustColumnWidth="0" connectionId="11" xr16:uid="{569DA8A8-7B20-4D0E-A6F9-D37AEAA3A32D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przycisko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growShrinkType="overwriteClear" adjustColumnWidth="0" connectionId="10" xr16:uid="{118CE055-5F6B-4C62-B055-6C9894FD11AC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funkcji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5" growShrinkType="overwriteClear" adjustColumnWidth="0" connectionId="12" xr16:uid="{5056F86E-A549-4E3C-8050-F00FDCE91C91}" autoFormatId="16" applyNumberFormats="0" applyBorderFormats="0" applyFontFormats="0" applyPatternFormats="0" applyAlignmentFormats="0" applyWidthHeightFormats="0">
  <queryTableRefresh nextId="3">
    <queryTableFields count="1">
      <queryTableField id="2" name="Ilosc wszystkich duplikatow przyciskow i funkcji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6" growShrinkType="overwriteClear" adjustColumnWidth="0" connectionId="9" xr16:uid="{B9D1F058-583A-470D-A4E9-0FEF6755C490}" autoFormatId="16" applyNumberFormats="0" applyBorderFormats="0" applyFontFormats="0" applyPatternFormats="0" applyAlignmentFormats="0" applyWidthHeightFormats="0">
  <queryTableRefresh nextId="9">
    <queryTableFields count="8">
      <queryTableField id="1" name="Kontroler1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7" growShrinkType="overwriteClear" adjustColumnWidth="0" connectionId="15" xr16:uid="{7DCA4E38-CBD9-4F86-8EB9-E58B8A687BE5}" autoFormatId="16" applyNumberFormats="0" applyBorderFormats="0" applyFontFormats="0" applyPatternFormats="0" applyAlignmentFormats="0" applyWidthHeightFormats="0">
  <queryTableRefresh nextId="9">
    <queryTableFields count="8">
      <queryTableField id="1" name="Kontroler2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31CA4-5A4D-4423-920D-3E2A12705FB1}" name="BazaKontrolerow" displayName="BazaKontrolerow" ref="A1:A18" totalsRowShown="0" headerRowDxfId="109" dataDxfId="108" tableBorderDxfId="107">
  <autoFilter ref="A1:A18" xr:uid="{956B830B-4EEC-444B-B2AF-0D34CE387640}"/>
  <tableColumns count="1">
    <tableColumn id="1" xr3:uid="{9F811E0A-95EB-479A-8805-7CDF498AFB70}" name="Nazwa kontrolera" dataDxfId="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FF0F3F-384B-4178-B129-5C2055A5E11C}" name="BazaSamolotow" displayName="BazaSamolotow" ref="A1:A43" totalsRowShown="0" headerRowDxfId="105" dataDxfId="104">
  <autoFilter ref="A1:A43" xr:uid="{41047A80-4264-4E8A-A183-CDCDF8E35F77}"/>
  <tableColumns count="1">
    <tableColumn id="1" xr3:uid="{167082F7-D677-4FFC-8C8C-F09D218A90B1}" name="Nazwa samolotu" data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Przyciski_Kontroler1" displayName="Przyciski_Kontroler1" ref="B1:C101" totalsRowShown="0" headerRowDxfId="102" dataDxfId="101" tableBorderDxfId="100">
  <autoFilter ref="B1:C101" xr:uid="{00000000-0009-0000-0100-000009000000}"/>
  <tableColumns count="2">
    <tableColumn id="1" xr3:uid="{00000000-0010-0000-0000-000001000000}" name="Kontroler1" dataDxfId="99"/>
    <tableColumn id="2" xr3:uid="{00000000-0010-0000-0000-000002000000}" name="Przycisk" dataDxfId="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Przyciski_Kontroler2" displayName="Przyciski_Kontroler2" ref="F1:G101" totalsRowShown="0" headerRowDxfId="97" dataDxfId="96" tableBorderDxfId="95">
  <autoFilter ref="F1:G101" xr:uid="{00000000-0009-0000-0100-00000A000000}"/>
  <tableColumns count="2">
    <tableColumn id="1" xr3:uid="{00000000-0010-0000-0100-000001000000}" name="Kontroler2" dataDxfId="94"/>
    <tableColumn id="2" xr3:uid="{00000000-0010-0000-0100-000002000000}" name="Przycisk" dataDxfId="9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E3D3765-83D4-48A1-B430-5E4CC4F49413}" name="Kontroler1" displayName="Kontroler1" ref="A1:A2" totalsRowShown="0" headerRowDxfId="92" dataDxfId="91">
  <autoFilter ref="A1:A2" xr:uid="{253C59A3-F4D5-4A5D-87BD-0D1468AB2B6C}"/>
  <tableColumns count="1">
    <tableColumn id="1" xr3:uid="{01BCB384-6B5D-44E6-9DA7-BD9BAFBB499F}" name="Nazwa kontrolera" dataDxfId="9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2B1181-8DB1-4127-B9B3-9187AEADAA49}" name="Kontroler2" displayName="Kontroler2" ref="E1:E2" totalsRowShown="0" headerRowDxfId="89" dataDxfId="88">
  <autoFilter ref="E1:E2" xr:uid="{D6BB2CCE-83F9-4BAF-B398-04085B67B3FD}"/>
  <tableColumns count="1">
    <tableColumn id="1" xr3:uid="{EB1C2F14-7993-492F-869A-96A143DEC47B}" name="Nazwa kontrolera" dataDxfId="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57FC6-1F18-4221-8856-5340712D0881}" name="Bindy_Kontroler1" displayName="Bindy_Kontroler1" ref="A1:C2000" totalsRowShown="0" headerRowDxfId="84" tableBorderDxfId="83">
  <autoFilter ref="A1:C2000" xr:uid="{3D0C860E-E8BC-401E-81F5-24F30F7273E8}"/>
  <tableColumns count="3">
    <tableColumn id="1" xr3:uid="{88A8E40D-A21F-4E92-8C59-06FFD1A047D9}" name="Kolumna1" dataDxfId="82"/>
    <tableColumn id="2" xr3:uid="{0A376E14-9FA1-4547-AB71-2D9A9ABCE8F2}" name="Kolumna2" dataDxfId="81"/>
    <tableColumn id="3" xr3:uid="{F0336AB1-CEF0-4E08-9477-4AE4867991D0}" name="Kolumna3" dataDxfId="8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Bindy_Kontroler2" displayName="Bindy_Kontroler2" ref="A1:C2000" totalsRowShown="0" headerRowDxfId="77" headerRowBorderDxfId="76" tableBorderDxfId="75" totalsRowBorderDxfId="74">
  <autoFilter ref="A1:C2000" xr:uid="{00000000-0009-0000-0100-000001000000}"/>
  <tableColumns count="3">
    <tableColumn id="1" xr3:uid="{00000000-0010-0000-0300-000001000000}" name="Kolumna1" dataDxfId="73"/>
    <tableColumn id="2" xr3:uid="{00000000-0010-0000-0300-000002000000}" name="Kolumna2" dataDxfId="72"/>
    <tableColumn id="3" xr3:uid="{00000000-0010-0000-0300-000003000000}" name="Kolumna3" dataDxfId="7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CFEC446-C238-4479-9347-E91092CEB38E}" name="Kontroler1_2" displayName="Kontroler1_2" ref="A1:A2" tableType="queryTable" totalsRowShown="0" headerRowDxfId="62" dataDxfId="61">
  <tableColumns count="1">
    <tableColumn id="1" xr3:uid="{54FE4B08-0C43-4EAB-9D9A-A852E29EE9B2}" uniqueName="1" name="Nazwa kontrolera" queryTableFieldId="1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3E329DA-C7E0-4C6A-8016-CBE647A9B986}" name="Modyfikatory_Kontroler1_MOD1" displayName="Modyfikatory_Kontroler1_MOD1" ref="B1:B2" tableType="queryTable" insertRow="1" totalsRowShown="0" headerRowDxfId="59" dataDxfId="58">
  <tableColumns count="1">
    <tableColumn id="1" xr3:uid="{7571E792-E291-454E-9366-3CA7934E8F54}" uniqueName="1" name="Modyfikator1" queryTableFieldId="1" dataDxfId="5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D65EFC4-D72F-4B5E-BDD8-C4C97324DBA7}" name="Modyfikatory_Kontroler1_MOD2" displayName="Modyfikatory_Kontroler1_MOD2" ref="C1:C2" tableType="queryTable" insertRow="1" totalsRowShown="0" headerRowDxfId="56" dataDxfId="55">
  <tableColumns count="1">
    <tableColumn id="1" xr3:uid="{4E203FA8-34B6-49D8-A449-405DAB36BD9B}" uniqueName="1" name="Modyfikator2" queryTableFieldId="1" dataDxfId="5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481A0FC-9D97-4892-8F05-89B1786FF2E9}" name="Kontroler2_2" displayName="Kontroler2_2" ref="K1:K2" tableType="queryTable" totalsRowShown="0" headerRowDxfId="53" dataDxfId="52">
  <tableColumns count="1">
    <tableColumn id="1" xr3:uid="{D3F9F26B-44A1-400A-A3C7-A13FCD5CE1A2}" uniqueName="1" name="Nazwa kontrolera" queryTableFieldId="1" dataDxfId="5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15C41E3-B5C7-489C-B1D9-5C72EE739C24}" name="Modyfikatory_Kontroler2_MOD1" displayName="Modyfikatory_Kontroler2_MOD1" ref="L1:L2" tableType="queryTable" insertRow="1" totalsRowShown="0" headerRowDxfId="50" dataDxfId="49">
  <tableColumns count="1">
    <tableColumn id="1" xr3:uid="{E7A9D35F-197C-465B-AE8D-2B08E4B953C6}" uniqueName="1" name="Modyfikator1" queryTableFieldId="1" dataDxf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2B2E144-3B41-40D0-B903-885485FAD318}" name="Modyfikatory_Kontroler2_MOD2" displayName="Modyfikatory_Kontroler2_MOD2" ref="M1:M2" tableType="queryTable" insertRow="1" totalsRowShown="0" headerRowDxfId="47" dataDxfId="46">
  <tableColumns count="1">
    <tableColumn id="1" xr3:uid="{1119ADFB-CA4D-4AAD-A72E-730E903F0744}" uniqueName="1" name="Modyfikator2" queryTableFieldId="1" dataDxfId="4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DBD892-9384-48B0-A39F-BFDEA673CF03}" name="Przyciski_Kontroler1_duplikaty_przyciskow" displayName="Przyciski_Kontroler1_duplikaty_przyciskow" ref="F1:F2" tableType="queryTable" totalsRowShown="0" headerRowDxfId="44" dataDxfId="43">
  <tableColumns count="1">
    <tableColumn id="1" xr3:uid="{AA7BB2A1-ABB8-4C06-B418-16AB35F53BE8}" uniqueName="1" name="Ilosc duplikatow przyciskow" queryTableFieldId="1" dataDxfId="4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8074F6-0E6C-4CDE-8038-8732DF8DB1C0}" name="Przyciski_Kontroler1_duplikaty_funkcji" displayName="Przyciski_Kontroler1_duplikaty_funkcji" ref="I1:I2" tableType="queryTable" totalsRowShown="0" headerRowDxfId="41" dataDxfId="40">
  <tableColumns count="1">
    <tableColumn id="1" xr3:uid="{E9DF5999-35F9-4272-8113-47C134841367}" uniqueName="1" name="Ilosc duplikatow funkcji" queryTableFieldId="1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C14020-5464-4A8B-8598-1E837E80EDE4}" name="Przyciski_Kontroler2_duplikaty_przyciskow" displayName="Przyciski_Kontroler2_duplikaty_przyciskow" ref="P1:P2" tableType="queryTable" totalsRowShown="0" headerRowDxfId="38" dataDxfId="37">
  <tableColumns count="1">
    <tableColumn id="1" xr3:uid="{E8FF0CDD-478E-4975-A54E-951882C3B90A}" uniqueName="1" name="Ilosc duplikatow przyciskow" queryTableFieldId="1" dataDxfId="3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620FF8C-2164-4A38-97A1-9F2C8353646B}" name="Przyciski_Kontroler2_duplikaty_funkcji" displayName="Przyciski_Kontroler2_duplikaty_funkcji" ref="S1:S2" tableType="queryTable" totalsRowShown="0" headerRowDxfId="35" dataDxfId="34">
  <tableColumns count="1">
    <tableColumn id="1" xr3:uid="{05929C63-7317-430A-8290-D5397F78AF9C}" uniqueName="1" name="Ilosc duplikatow funkcji" queryTableFieldId="1" dataDxfId="3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C856F6-A710-4054-83C7-656DA8BBB667}" name="Przyciski_Kontroler1i2_duplikaty_przyciskow" displayName="Przyciski_Kontroler1i2_duplikaty_przyciskow" ref="U1:U2" tableType="queryTable" totalsRowShown="0" headerRowDxfId="32" dataDxfId="31">
  <tableColumns count="1">
    <tableColumn id="1" xr3:uid="{193F74FB-AD3A-4740-A0BD-95A308D2E844}" uniqueName="1" name="Ilosc wszystkich duplikatow przyciskow" queryTableFieldId="1" dataDxfId="3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8D049F-7636-4B30-8E31-1EE94FE399DE}" name="Przyciski_Kontroler1i2_duplikaty_funkcji" displayName="Przyciski_Kontroler1i2_duplikaty_funkcji" ref="V1:V2" tableType="queryTable" totalsRowShown="0" headerRowDxfId="29" dataDxfId="28">
  <tableColumns count="1">
    <tableColumn id="1" xr3:uid="{6F2CE6C6-49AB-44C6-ACEC-EFCE415E2684}" uniqueName="1" name="Ilosc wszystkich duplikatow funkcji" queryTableFieldId="1" dataDxfId="2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2C763C-60AE-499C-82EE-92938A244425}" name="Przyciski_Kontroler1i2_duplikaty_przyciskow_i_funkcji" displayName="Przyciski_Kontroler1i2_duplikaty_przyciskow_i_funkcji" ref="W1:W2" tableType="queryTable" totalsRowShown="0" headerRowDxfId="26" dataDxfId="25">
  <tableColumns count="1">
    <tableColumn id="1" xr3:uid="{A6011495-4F22-45C0-94CD-2E173F7DC249}" uniqueName="1" name="Ilosc wszystkich duplikatow przyciskow i funkcji" queryTableFieldId="2" dataDxfId="2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4E2708-DCA6-4622-88ED-956FEE589D01}" name="Przyciski_Kontroler1_przyciski_WSZYSTKIE" displayName="Przyciski_Kontroler1_przyciski_WSZYSTKIE" ref="A4:H5" tableType="queryTable" insertRow="1" totalsRowShown="0" headerRowDxfId="23" dataDxfId="22">
  <autoFilter ref="A4:H5" xr:uid="{2D76057C-3EFC-492B-9951-266171F55A94}"/>
  <tableColumns count="8">
    <tableColumn id="1" xr3:uid="{8D7C5870-7DD1-48AB-A14B-2B4A89A92F01}" uniqueName="1" name="Kontroler1" queryTableFieldId="1" dataDxfId="21"/>
    <tableColumn id="2" xr3:uid="{7B9DBDCA-172A-42D1-AC75-0482ED2101A8}" uniqueName="2" name="Przycisk" queryTableFieldId="2" dataDxfId="20"/>
    <tableColumn id="3" xr3:uid="{DBC76205-FFA5-4687-9E35-8C2E87590F27}" uniqueName="3" name="Funkcja" queryTableFieldId="3" dataDxfId="19"/>
    <tableColumn id="4" xr3:uid="{F67FE479-9DBB-4935-AB58-EFD61A267923}" uniqueName="4" name="Kategoria funkcji" queryTableFieldId="4" dataDxfId="18"/>
    <tableColumn id="5" xr3:uid="{D83308A4-F0C4-42E5-8D03-FF7F33729A0C}" uniqueName="5" name="Funkcja MOD1" queryTableFieldId="5" dataDxfId="17"/>
    <tableColumn id="6" xr3:uid="{1DD4321C-5DFF-420F-A329-42F50AA3F935}" uniqueName="6" name="Kategoria funkcji MOD1" queryTableFieldId="6" dataDxfId="16"/>
    <tableColumn id="7" xr3:uid="{F0657C13-63B6-4BCF-8744-59451F8EB929}" uniqueName="7" name="Funkcja MOD2" queryTableFieldId="7" dataDxfId="15"/>
    <tableColumn id="8" xr3:uid="{0BA0538A-D3E0-47C7-AF74-C1C097EC4C37}" uniqueName="8" name="Kategoria funkcji MOD2" queryTableFieldId="8" dataDxfId="1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60E359-F081-4EF5-ADFA-1DE4D46F48A3}" name="Przyciski_Kontroler2_przyciski_WSZYSTKIE" displayName="Przyciski_Kontroler2_przyciski_WSZYSTKIE" ref="K4:R5" tableType="queryTable" insertRow="1" totalsRowShown="0" headerRowDxfId="13" dataDxfId="12">
  <autoFilter ref="K4:R5" xr:uid="{5FD0DFBA-52AE-4760-89B8-1F14113A4221}"/>
  <tableColumns count="8">
    <tableColumn id="1" xr3:uid="{C1273B9D-2A9D-476E-AE0B-18819D5F403B}" uniqueName="1" name="Kontroler2" queryTableFieldId="1" dataDxfId="11"/>
    <tableColumn id="2" xr3:uid="{E25CAC9E-F5A3-40E2-A059-D1F8E2FAAAF9}" uniqueName="2" name="Przycisk" queryTableFieldId="2" dataDxfId="10"/>
    <tableColumn id="3" xr3:uid="{77EF4EBD-B0EB-427B-9FD2-092965B8D337}" uniqueName="3" name="Funkcja" queryTableFieldId="3" dataDxfId="9"/>
    <tableColumn id="4" xr3:uid="{1EA95B38-FA73-4E4D-A9AA-ECCA842337CC}" uniqueName="4" name="Kategoria funkcji" queryTableFieldId="4" dataDxfId="8"/>
    <tableColumn id="5" xr3:uid="{8179A279-5CF3-4530-AADA-5C1EA28A0669}" uniqueName="5" name="Funkcja MOD1" queryTableFieldId="5" dataDxfId="7"/>
    <tableColumn id="6" xr3:uid="{E95E5F47-197E-4515-AB11-614542E5E719}" uniqueName="6" name="Kategoria funkcji MOD1" queryTableFieldId="6" dataDxfId="6"/>
    <tableColumn id="7" xr3:uid="{B89B91B5-E371-4730-BED8-8A3CC7C210C0}" uniqueName="7" name="Funkcja MOD2" queryTableFieldId="7" dataDxfId="5"/>
    <tableColumn id="8" xr3:uid="{62DD5CD9-1F8C-4994-AAA7-1BD8E372B60E}" uniqueName="8" name="Kategoria funkcji MOD2" queryTableFieldId="8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armaforces.com/" TargetMode="External"/><Relationship Id="rId1" Type="http://schemas.openxmlformats.org/officeDocument/2006/relationships/hyperlink" Target="https://discord.gg/3FFdNEg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3E52-B4F5-4814-A839-0CEA6B0DFF55}">
  <sheetPr codeName="Arkusz0"/>
  <dimension ref="A1:DL46"/>
  <sheetViews>
    <sheetView zoomScale="85" zoomScaleNormal="85" workbookViewId="0">
      <selection activeCell="C38" sqref="C38"/>
    </sheetView>
  </sheetViews>
  <sheetFormatPr defaultRowHeight="15"/>
  <cols>
    <col min="1" max="1" width="22.7109375" style="14" customWidth="1"/>
    <col min="2" max="2" width="3.140625" style="14" customWidth="1"/>
    <col min="3" max="3" width="18.42578125" style="14" customWidth="1"/>
    <col min="4" max="4" width="18.28515625" style="14" bestFit="1" customWidth="1"/>
    <col min="5" max="5" width="3.140625" style="14" customWidth="1"/>
    <col min="6" max="6" width="18.42578125" style="14" customWidth="1"/>
    <col min="7" max="7" width="18.28515625" style="14" bestFit="1" customWidth="1"/>
    <col min="8" max="8" width="3.140625" style="14" customWidth="1"/>
    <col min="9" max="9" width="18.42578125" style="14" customWidth="1"/>
    <col min="10" max="10" width="18.28515625" style="14" bestFit="1" customWidth="1"/>
    <col min="11" max="11" width="3.140625" style="14" customWidth="1"/>
    <col min="12" max="12" width="18.42578125" style="14" customWidth="1"/>
    <col min="13" max="13" width="18.28515625" style="14" bestFit="1" customWidth="1"/>
    <col min="14" max="14" width="3.140625" style="14" customWidth="1"/>
    <col min="15" max="15" width="18.42578125" style="14" customWidth="1"/>
    <col min="16" max="16" width="18.28515625" style="14" bestFit="1" customWidth="1"/>
    <col min="17" max="17" width="3.140625" style="14" customWidth="1"/>
    <col min="18" max="18" width="18.42578125" style="14" customWidth="1"/>
    <col min="19" max="19" width="18.28515625" style="14" bestFit="1" customWidth="1"/>
    <col min="20" max="20" width="3.140625" style="14" customWidth="1"/>
    <col min="21" max="21" width="18.42578125" style="14" customWidth="1"/>
    <col min="22" max="22" width="18.28515625" style="14" bestFit="1" customWidth="1"/>
    <col min="23" max="23" width="3.140625" style="14" customWidth="1"/>
    <col min="24" max="24" width="18.42578125" style="14" customWidth="1"/>
    <col min="25" max="25" width="18.28515625" style="14" bestFit="1" customWidth="1"/>
    <col min="26" max="26" width="3.140625" style="14" customWidth="1"/>
    <col min="27" max="27" width="18.42578125" style="14" customWidth="1"/>
    <col min="28" max="28" width="18.28515625" style="14" bestFit="1" customWidth="1"/>
    <col min="29" max="29" width="3.140625" style="14" customWidth="1"/>
    <col min="30" max="30" width="18.42578125" style="14" customWidth="1"/>
    <col min="31" max="31" width="18.28515625" style="14" bestFit="1" customWidth="1"/>
    <col min="32" max="32" width="3.140625" style="14" customWidth="1"/>
    <col min="33" max="33" width="18.42578125" style="14" customWidth="1"/>
    <col min="34" max="34" width="18.28515625" style="14" bestFit="1" customWidth="1"/>
    <col min="35" max="35" width="3.140625" style="14" customWidth="1"/>
    <col min="36" max="36" width="18.42578125" style="14" customWidth="1"/>
    <col min="37" max="37" width="18.28515625" style="14" bestFit="1" customWidth="1"/>
    <col min="38" max="38" width="3.140625" style="14" customWidth="1"/>
    <col min="39" max="39" width="18.42578125" style="14" customWidth="1"/>
    <col min="40" max="40" width="18.28515625" style="14" bestFit="1" customWidth="1"/>
    <col min="41" max="41" width="3.140625" style="14" customWidth="1"/>
    <col min="42" max="42" width="18.42578125" style="14" customWidth="1"/>
    <col min="43" max="43" width="18.28515625" style="14" bestFit="1" customWidth="1"/>
    <col min="44" max="44" width="3.140625" style="14" customWidth="1"/>
    <col min="45" max="45" width="18.42578125" style="14" customWidth="1"/>
    <col min="46" max="46" width="18.28515625" style="14" bestFit="1" customWidth="1"/>
    <col min="47" max="47" width="3.140625" style="14" customWidth="1"/>
    <col min="48" max="48" width="18.42578125" style="14" customWidth="1"/>
    <col min="49" max="49" width="18.28515625" style="14" bestFit="1" customWidth="1"/>
    <col min="50" max="50" width="3.140625" style="14" customWidth="1"/>
    <col min="51" max="51" width="18.42578125" style="14" customWidth="1"/>
    <col min="52" max="52" width="18.28515625" style="14" bestFit="1" customWidth="1"/>
    <col min="53" max="53" width="3.140625" style="14" customWidth="1"/>
    <col min="54" max="54" width="18.42578125" style="14" customWidth="1"/>
    <col min="55" max="55" width="18.28515625" style="14" bestFit="1" customWidth="1"/>
    <col min="56" max="56" width="3.140625" style="14" customWidth="1"/>
    <col min="57" max="57" width="18.42578125" style="14" customWidth="1"/>
    <col min="58" max="58" width="18.28515625" style="14" bestFit="1" customWidth="1"/>
    <col min="59" max="59" width="3.140625" style="14" customWidth="1"/>
    <col min="60" max="60" width="18.42578125" style="14" customWidth="1"/>
    <col min="61" max="61" width="18.28515625" style="14" bestFit="1" customWidth="1"/>
    <col min="62" max="62" width="3.140625" style="14" customWidth="1"/>
    <col min="63" max="63" width="18.42578125" style="14" customWidth="1"/>
    <col min="64" max="64" width="18.28515625" style="14" bestFit="1" customWidth="1"/>
    <col min="65" max="65" width="3.140625" style="14" customWidth="1"/>
    <col min="66" max="66" width="18.42578125" style="14" customWidth="1"/>
    <col min="67" max="67" width="18.28515625" style="14" bestFit="1" customWidth="1"/>
    <col min="68" max="68" width="3.140625" style="14" customWidth="1"/>
    <col min="69" max="69" width="18.42578125" style="14" customWidth="1"/>
    <col min="70" max="70" width="18.28515625" style="14" bestFit="1" customWidth="1"/>
    <col min="71" max="71" width="3.140625" style="14" customWidth="1"/>
    <col min="72" max="72" width="18.42578125" style="14" customWidth="1"/>
    <col min="73" max="73" width="18.28515625" style="14" bestFit="1" customWidth="1"/>
    <col min="74" max="74" width="3.140625" style="14" customWidth="1"/>
    <col min="75" max="75" width="18.42578125" style="14" customWidth="1"/>
    <col min="76" max="76" width="18.28515625" style="14" bestFit="1" customWidth="1"/>
    <col min="77" max="77" width="3.140625" style="14" customWidth="1"/>
    <col min="78" max="78" width="18.42578125" style="14" customWidth="1"/>
    <col min="79" max="79" width="18.28515625" style="14" bestFit="1" customWidth="1"/>
    <col min="80" max="80" width="3.140625" style="14" customWidth="1"/>
    <col min="81" max="81" width="18.42578125" style="14" customWidth="1"/>
    <col min="82" max="82" width="18.28515625" style="14" bestFit="1" customWidth="1"/>
    <col min="83" max="83" width="3.140625" style="14" customWidth="1"/>
    <col min="84" max="84" width="18.42578125" style="14" customWidth="1"/>
    <col min="85" max="85" width="18.28515625" style="14" bestFit="1" customWidth="1"/>
    <col min="86" max="86" width="3.140625" style="14" customWidth="1"/>
    <col min="87" max="87" width="18.42578125" style="14" customWidth="1"/>
    <col min="88" max="88" width="18.28515625" style="14" bestFit="1" customWidth="1"/>
    <col min="89" max="89" width="3.140625" style="14" customWidth="1"/>
    <col min="90" max="90" width="18.42578125" style="14" customWidth="1"/>
    <col min="91" max="91" width="18.28515625" style="14" bestFit="1" customWidth="1"/>
    <col min="92" max="92" width="3.140625" style="14" customWidth="1"/>
    <col min="93" max="93" width="18.42578125" style="14" customWidth="1"/>
    <col min="94" max="94" width="18.28515625" style="14" bestFit="1" customWidth="1"/>
    <col min="95" max="95" width="3.140625" style="14" customWidth="1"/>
    <col min="96" max="96" width="18.42578125" style="14" customWidth="1"/>
    <col min="97" max="97" width="18.28515625" style="14" bestFit="1" customWidth="1"/>
    <col min="98" max="98" width="3.140625" style="14" customWidth="1"/>
    <col min="99" max="99" width="18.42578125" style="14" customWidth="1"/>
    <col min="100" max="100" width="18.28515625" style="14" bestFit="1" customWidth="1"/>
    <col min="101" max="101" width="3.140625" style="14" customWidth="1"/>
    <col min="102" max="102" width="18.42578125" style="14" customWidth="1"/>
    <col min="103" max="103" width="18.28515625" style="14" bestFit="1" customWidth="1"/>
    <col min="104" max="104" width="3.140625" style="14" customWidth="1"/>
    <col min="105" max="105" width="18.42578125" style="14" customWidth="1"/>
    <col min="106" max="106" width="18.28515625" style="14" bestFit="1" customWidth="1"/>
    <col min="107" max="107" width="3.140625" style="14" customWidth="1"/>
    <col min="108" max="108" width="18.42578125" style="14" customWidth="1"/>
    <col min="109" max="109" width="18.28515625" style="14" bestFit="1" customWidth="1"/>
    <col min="110" max="110" width="3.140625" style="14" customWidth="1"/>
    <col min="111" max="111" width="18.42578125" style="14" customWidth="1"/>
    <col min="112" max="112" width="18.28515625" style="14" bestFit="1" customWidth="1"/>
    <col min="113" max="113" width="3.140625" style="14" customWidth="1"/>
    <col min="114" max="114" width="18.42578125" style="14" customWidth="1"/>
    <col min="115" max="115" width="18.28515625" style="14" bestFit="1" customWidth="1"/>
    <col min="116" max="116" width="3.140625" style="14" customWidth="1"/>
    <col min="117" max="16384" width="9.140625" style="14"/>
  </cols>
  <sheetData>
    <row r="1" spans="1:116">
      <c r="A1" s="17" t="s">
        <v>35</v>
      </c>
      <c r="C1" s="40" t="s">
        <v>54</v>
      </c>
      <c r="D1" s="40"/>
      <c r="E1" s="40"/>
      <c r="F1" s="40" t="s">
        <v>55</v>
      </c>
      <c r="G1" s="40"/>
      <c r="H1" s="40"/>
      <c r="I1" s="40" t="s">
        <v>129</v>
      </c>
      <c r="J1" s="40"/>
      <c r="K1" s="40"/>
      <c r="L1" s="40" t="s">
        <v>130</v>
      </c>
      <c r="M1" s="40"/>
      <c r="N1" s="40"/>
      <c r="O1" s="40" t="s">
        <v>131</v>
      </c>
      <c r="P1" s="40"/>
      <c r="Q1" s="40"/>
      <c r="R1" s="40" t="s">
        <v>132</v>
      </c>
      <c r="S1" s="40"/>
      <c r="T1" s="40"/>
      <c r="U1" s="41" t="s">
        <v>133</v>
      </c>
      <c r="V1" s="40"/>
      <c r="W1" s="40"/>
      <c r="X1" s="41" t="s">
        <v>134</v>
      </c>
      <c r="Y1" s="40"/>
      <c r="Z1" s="40"/>
      <c r="AA1" s="82" t="s">
        <v>56</v>
      </c>
      <c r="AB1" s="82"/>
      <c r="AC1" s="82"/>
      <c r="AD1" s="82" t="s">
        <v>57</v>
      </c>
      <c r="AE1" s="82"/>
      <c r="AF1" s="40"/>
      <c r="AG1" s="40" t="s">
        <v>58</v>
      </c>
      <c r="AH1" s="40"/>
      <c r="AI1" s="40"/>
      <c r="AJ1" s="40" t="s">
        <v>59</v>
      </c>
      <c r="AK1" s="40"/>
      <c r="AL1" s="40"/>
      <c r="AM1" s="40" t="s">
        <v>151</v>
      </c>
      <c r="AN1" s="40"/>
      <c r="AO1" s="40"/>
      <c r="AP1" s="40" t="s">
        <v>152</v>
      </c>
      <c r="AQ1" s="40"/>
      <c r="AR1" s="40"/>
      <c r="AS1" s="40" t="s">
        <v>162</v>
      </c>
      <c r="AT1" s="40"/>
      <c r="AU1" s="40"/>
      <c r="AV1" s="40" t="s">
        <v>163</v>
      </c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</row>
    <row r="2" spans="1:116">
      <c r="A2" s="42" t="s">
        <v>54</v>
      </c>
      <c r="C2" s="14">
        <v>1</v>
      </c>
      <c r="D2" s="14" t="s">
        <v>3</v>
      </c>
      <c r="F2" s="14">
        <v>1</v>
      </c>
      <c r="G2" s="14" t="s">
        <v>3</v>
      </c>
      <c r="I2" s="14">
        <v>1</v>
      </c>
      <c r="J2" s="14" t="s">
        <v>3</v>
      </c>
      <c r="L2" s="14">
        <v>1</v>
      </c>
      <c r="M2" s="14" t="s">
        <v>3</v>
      </c>
      <c r="O2" s="14">
        <v>1</v>
      </c>
      <c r="P2" s="14" t="s">
        <v>3</v>
      </c>
      <c r="R2" s="14">
        <v>1</v>
      </c>
      <c r="S2" s="14" t="s">
        <v>3</v>
      </c>
      <c r="U2" s="14">
        <v>1</v>
      </c>
      <c r="V2" s="14" t="s">
        <v>3</v>
      </c>
      <c r="X2" s="14">
        <v>1</v>
      </c>
      <c r="Y2" s="14" t="s">
        <v>3</v>
      </c>
      <c r="AA2" s="83">
        <v>1</v>
      </c>
      <c r="AB2" s="83" t="s">
        <v>3</v>
      </c>
      <c r="AC2" s="83"/>
      <c r="AD2" s="83">
        <v>1</v>
      </c>
      <c r="AE2" s="83" t="s">
        <v>9</v>
      </c>
      <c r="AG2" s="14">
        <v>1</v>
      </c>
      <c r="AH2" s="14" t="s">
        <v>3</v>
      </c>
      <c r="AJ2" s="14">
        <v>1</v>
      </c>
      <c r="AK2" s="14" t="s">
        <v>9</v>
      </c>
      <c r="AM2" s="14">
        <v>1</v>
      </c>
      <c r="AN2" s="14" t="s">
        <v>3</v>
      </c>
      <c r="AP2" s="14">
        <v>1</v>
      </c>
      <c r="AQ2" s="14" t="s">
        <v>3</v>
      </c>
      <c r="AS2" s="14">
        <v>1</v>
      </c>
      <c r="AT2" s="14" t="s">
        <v>3</v>
      </c>
      <c r="AV2" s="14">
        <v>1</v>
      </c>
      <c r="AW2" s="14" t="s">
        <v>3</v>
      </c>
      <c r="AY2" s="40"/>
      <c r="AZ2" s="40"/>
      <c r="BB2" s="40"/>
      <c r="BC2" s="40"/>
      <c r="BE2" s="40"/>
      <c r="BF2" s="40"/>
      <c r="BH2" s="40"/>
      <c r="BI2" s="40"/>
      <c r="BK2" s="40"/>
      <c r="BL2" s="40"/>
      <c r="BN2" s="40"/>
      <c r="BO2" s="40"/>
      <c r="BQ2" s="40"/>
      <c r="BR2" s="40"/>
      <c r="BT2" s="40"/>
      <c r="BU2" s="40"/>
      <c r="BW2" s="40"/>
      <c r="BX2" s="40"/>
      <c r="BZ2" s="40"/>
      <c r="CA2" s="40"/>
      <c r="CC2" s="40"/>
      <c r="CD2" s="40"/>
      <c r="CF2" s="40"/>
      <c r="CG2" s="40"/>
      <c r="CI2" s="40"/>
      <c r="CJ2" s="40"/>
      <c r="CL2" s="40"/>
      <c r="CM2" s="40"/>
      <c r="CO2" s="40"/>
      <c r="CP2" s="40"/>
      <c r="CR2" s="40"/>
      <c r="CS2" s="40"/>
      <c r="CU2" s="40"/>
      <c r="CV2" s="40"/>
      <c r="CX2" s="40"/>
      <c r="CY2" s="40"/>
      <c r="DA2" s="40"/>
      <c r="DB2" s="40"/>
      <c r="DD2" s="40"/>
      <c r="DE2" s="40"/>
      <c r="DG2" s="40"/>
      <c r="DH2" s="40"/>
      <c r="DJ2" s="40"/>
      <c r="DK2" s="40"/>
    </row>
    <row r="3" spans="1:116">
      <c r="A3" s="41" t="s">
        <v>55</v>
      </c>
      <c r="C3" s="14">
        <v>2</v>
      </c>
      <c r="D3" s="14" t="s">
        <v>4</v>
      </c>
      <c r="F3" s="14">
        <v>2</v>
      </c>
      <c r="G3" s="14" t="s">
        <v>4</v>
      </c>
      <c r="I3" s="14">
        <v>2</v>
      </c>
      <c r="J3" s="14" t="s">
        <v>4</v>
      </c>
      <c r="L3" s="14">
        <v>2</v>
      </c>
      <c r="M3" s="14" t="s">
        <v>4</v>
      </c>
      <c r="O3" s="14">
        <v>2</v>
      </c>
      <c r="P3" s="14" t="s">
        <v>4</v>
      </c>
      <c r="R3" s="14">
        <v>2</v>
      </c>
      <c r="S3" s="14" t="s">
        <v>4</v>
      </c>
      <c r="U3" s="14">
        <v>2</v>
      </c>
      <c r="V3" s="14" t="s">
        <v>4</v>
      </c>
      <c r="X3" s="14">
        <v>2</v>
      </c>
      <c r="Y3" s="14" t="s">
        <v>4</v>
      </c>
      <c r="AA3" s="83">
        <v>2</v>
      </c>
      <c r="AB3" s="83" t="s">
        <v>4</v>
      </c>
      <c r="AC3" s="83"/>
      <c r="AD3" s="83">
        <v>2</v>
      </c>
      <c r="AE3" s="83" t="s">
        <v>10</v>
      </c>
      <c r="AG3" s="14">
        <v>2</v>
      </c>
      <c r="AH3" s="14" t="s">
        <v>4</v>
      </c>
      <c r="AJ3" s="14">
        <v>2</v>
      </c>
      <c r="AK3" s="14" t="s">
        <v>10</v>
      </c>
      <c r="AM3" s="14">
        <v>2</v>
      </c>
      <c r="AN3" s="14" t="s">
        <v>4</v>
      </c>
      <c r="AP3" s="14">
        <v>2</v>
      </c>
      <c r="AQ3" s="14" t="s">
        <v>4</v>
      </c>
      <c r="AS3" s="14">
        <v>2</v>
      </c>
      <c r="AT3" s="14" t="s">
        <v>4</v>
      </c>
      <c r="AV3" s="14">
        <v>2</v>
      </c>
      <c r="AW3" s="14" t="s">
        <v>4</v>
      </c>
    </row>
    <row r="4" spans="1:116">
      <c r="A4" s="41" t="s">
        <v>129</v>
      </c>
      <c r="C4" s="14">
        <v>3</v>
      </c>
      <c r="D4" s="14" t="s">
        <v>5</v>
      </c>
      <c r="F4" s="14">
        <v>3</v>
      </c>
      <c r="G4" s="14" t="s">
        <v>5</v>
      </c>
      <c r="I4" s="14">
        <v>3</v>
      </c>
      <c r="J4" s="14" t="s">
        <v>5</v>
      </c>
      <c r="L4" s="14">
        <v>3</v>
      </c>
      <c r="M4" s="14" t="s">
        <v>5</v>
      </c>
      <c r="O4" s="14">
        <v>3</v>
      </c>
      <c r="P4" s="14" t="s">
        <v>5</v>
      </c>
      <c r="R4" s="14">
        <v>3</v>
      </c>
      <c r="S4" s="14" t="s">
        <v>5</v>
      </c>
      <c r="U4" s="14">
        <v>3</v>
      </c>
      <c r="V4" s="14" t="s">
        <v>5</v>
      </c>
      <c r="X4" s="14">
        <v>3</v>
      </c>
      <c r="Y4" s="14" t="s">
        <v>5</v>
      </c>
      <c r="AA4" s="83">
        <v>3</v>
      </c>
      <c r="AB4" s="83" t="s">
        <v>5</v>
      </c>
      <c r="AC4" s="83"/>
      <c r="AD4" s="83">
        <v>3</v>
      </c>
      <c r="AE4" s="83" t="s">
        <v>45</v>
      </c>
      <c r="AG4" s="14">
        <v>3</v>
      </c>
      <c r="AH4" s="14" t="s">
        <v>5</v>
      </c>
      <c r="AJ4" s="14">
        <v>3</v>
      </c>
      <c r="AK4" s="14" t="s">
        <v>18</v>
      </c>
      <c r="AM4" s="14">
        <v>3</v>
      </c>
      <c r="AN4" s="14" t="s">
        <v>5</v>
      </c>
      <c r="AP4" s="14">
        <v>3</v>
      </c>
      <c r="AQ4" s="14" t="s">
        <v>5</v>
      </c>
      <c r="AS4" s="14">
        <v>3</v>
      </c>
      <c r="AT4" s="14" t="s">
        <v>5</v>
      </c>
      <c r="AV4" s="14">
        <v>3</v>
      </c>
      <c r="AW4" s="14" t="s">
        <v>5</v>
      </c>
    </row>
    <row r="5" spans="1:116">
      <c r="A5" s="41" t="s">
        <v>130</v>
      </c>
      <c r="C5" s="14">
        <v>4</v>
      </c>
      <c r="D5" s="14" t="s">
        <v>6</v>
      </c>
      <c r="F5" s="14">
        <v>4</v>
      </c>
      <c r="G5" s="14" t="s">
        <v>6</v>
      </c>
      <c r="I5" s="14">
        <v>4</v>
      </c>
      <c r="J5" s="14" t="s">
        <v>6</v>
      </c>
      <c r="L5" s="14">
        <v>4</v>
      </c>
      <c r="M5" s="14" t="s">
        <v>6</v>
      </c>
      <c r="O5" s="14">
        <v>4</v>
      </c>
      <c r="P5" s="14" t="s">
        <v>6</v>
      </c>
      <c r="R5" s="14">
        <v>4</v>
      </c>
      <c r="S5" s="14" t="s">
        <v>6</v>
      </c>
      <c r="U5" s="14">
        <v>4</v>
      </c>
      <c r="V5" s="14" t="s">
        <v>6</v>
      </c>
      <c r="X5" s="14">
        <v>4</v>
      </c>
      <c r="Y5" s="14" t="s">
        <v>6</v>
      </c>
      <c r="AA5" s="83">
        <v>4</v>
      </c>
      <c r="AB5" s="83" t="s">
        <v>6</v>
      </c>
      <c r="AC5" s="83"/>
      <c r="AD5" s="83">
        <v>4</v>
      </c>
      <c r="AE5" s="83" t="s">
        <v>46</v>
      </c>
      <c r="AG5" s="14">
        <v>4</v>
      </c>
      <c r="AH5" s="14" t="s">
        <v>6</v>
      </c>
      <c r="AJ5" s="14">
        <v>4</v>
      </c>
      <c r="AK5" s="14" t="s">
        <v>42</v>
      </c>
      <c r="AM5" s="14">
        <v>4</v>
      </c>
      <c r="AN5" s="14" t="s">
        <v>6</v>
      </c>
      <c r="AP5" s="14">
        <v>4</v>
      </c>
      <c r="AQ5" s="14" t="s">
        <v>6</v>
      </c>
      <c r="AS5" s="14">
        <v>4</v>
      </c>
      <c r="AT5" s="14" t="s">
        <v>6</v>
      </c>
      <c r="AV5" s="14">
        <v>4</v>
      </c>
      <c r="AW5" s="14" t="s">
        <v>6</v>
      </c>
    </row>
    <row r="6" spans="1:116">
      <c r="A6" s="41" t="s">
        <v>131</v>
      </c>
      <c r="C6" s="14">
        <v>5</v>
      </c>
      <c r="D6" s="14" t="s">
        <v>7</v>
      </c>
      <c r="F6" s="14">
        <v>5</v>
      </c>
      <c r="G6" s="14" t="s">
        <v>7</v>
      </c>
      <c r="I6" s="14">
        <v>5</v>
      </c>
      <c r="J6" s="14" t="s">
        <v>7</v>
      </c>
      <c r="L6" s="14">
        <v>5</v>
      </c>
      <c r="M6" s="14" t="s">
        <v>7</v>
      </c>
      <c r="O6" s="14">
        <v>5</v>
      </c>
      <c r="P6" s="14" t="s">
        <v>7</v>
      </c>
      <c r="R6" s="14">
        <v>5</v>
      </c>
      <c r="S6" s="14" t="s">
        <v>7</v>
      </c>
      <c r="U6" s="14">
        <v>5</v>
      </c>
      <c r="V6" s="14" t="s">
        <v>7</v>
      </c>
      <c r="X6" s="14">
        <v>5</v>
      </c>
      <c r="Y6" s="14" t="s">
        <v>7</v>
      </c>
      <c r="AA6" s="83">
        <v>5</v>
      </c>
      <c r="AB6" s="83" t="s">
        <v>7</v>
      </c>
      <c r="AC6" s="83"/>
      <c r="AD6" s="83">
        <v>5</v>
      </c>
      <c r="AE6" s="83" t="s">
        <v>47</v>
      </c>
      <c r="AG6" s="14">
        <v>5</v>
      </c>
      <c r="AH6" s="14" t="s">
        <v>7</v>
      </c>
      <c r="AJ6" s="14">
        <v>5</v>
      </c>
      <c r="AK6" s="14" t="s">
        <v>43</v>
      </c>
      <c r="AM6" s="14">
        <v>5</v>
      </c>
      <c r="AN6" s="14" t="s">
        <v>7</v>
      </c>
      <c r="AP6" s="14">
        <v>5</v>
      </c>
      <c r="AQ6" s="14" t="s">
        <v>7</v>
      </c>
      <c r="AS6" s="14">
        <v>5</v>
      </c>
      <c r="AT6" s="14" t="s">
        <v>7</v>
      </c>
      <c r="AV6" s="14">
        <v>5</v>
      </c>
      <c r="AW6" s="14" t="s">
        <v>7</v>
      </c>
    </row>
    <row r="7" spans="1:116">
      <c r="A7" s="41" t="s">
        <v>162</v>
      </c>
      <c r="C7" s="14">
        <v>6</v>
      </c>
      <c r="D7" s="14" t="s">
        <v>8</v>
      </c>
      <c r="F7" s="14">
        <v>6</v>
      </c>
      <c r="G7" s="14" t="s">
        <v>8</v>
      </c>
      <c r="I7" s="14">
        <v>6</v>
      </c>
      <c r="J7" s="14" t="s">
        <v>8</v>
      </c>
      <c r="L7" s="14">
        <v>6</v>
      </c>
      <c r="M7" s="14" t="s">
        <v>8</v>
      </c>
      <c r="O7" s="14">
        <v>6</v>
      </c>
      <c r="P7" s="14" t="s">
        <v>8</v>
      </c>
      <c r="R7" s="14">
        <v>6</v>
      </c>
      <c r="S7" s="14" t="s">
        <v>8</v>
      </c>
      <c r="U7" s="14">
        <v>6</v>
      </c>
      <c r="V7" s="14" t="s">
        <v>8</v>
      </c>
      <c r="X7" s="14">
        <v>6</v>
      </c>
      <c r="Y7" s="14" t="s">
        <v>8</v>
      </c>
      <c r="AA7" s="83">
        <v>6</v>
      </c>
      <c r="AB7" s="83" t="s">
        <v>8</v>
      </c>
      <c r="AC7" s="83"/>
      <c r="AD7" s="83">
        <v>6</v>
      </c>
      <c r="AE7" s="83" t="s">
        <v>48</v>
      </c>
      <c r="AG7" s="14">
        <v>6</v>
      </c>
      <c r="AH7" s="14" t="s">
        <v>8</v>
      </c>
      <c r="AJ7" s="14">
        <v>6</v>
      </c>
      <c r="AK7" s="14" t="s">
        <v>44</v>
      </c>
      <c r="AM7" s="14">
        <v>6</v>
      </c>
      <c r="AN7" s="14" t="s">
        <v>8</v>
      </c>
      <c r="AP7" s="14">
        <v>6</v>
      </c>
      <c r="AQ7" s="14" t="s">
        <v>8</v>
      </c>
      <c r="AS7" s="14">
        <v>6</v>
      </c>
      <c r="AT7" s="14" t="s">
        <v>8</v>
      </c>
      <c r="AV7" s="14">
        <v>6</v>
      </c>
      <c r="AW7" s="14" t="s">
        <v>8</v>
      </c>
    </row>
    <row r="8" spans="1:116">
      <c r="A8" s="41" t="s">
        <v>163</v>
      </c>
      <c r="C8" s="14">
        <v>7</v>
      </c>
      <c r="D8" s="14" t="s">
        <v>9</v>
      </c>
      <c r="F8" s="14">
        <v>7</v>
      </c>
      <c r="G8" s="14" t="s">
        <v>9</v>
      </c>
      <c r="I8" s="14">
        <v>7</v>
      </c>
      <c r="J8" s="14" t="s">
        <v>9</v>
      </c>
      <c r="L8" s="14">
        <v>7</v>
      </c>
      <c r="M8" s="14" t="s">
        <v>9</v>
      </c>
      <c r="O8" s="14">
        <v>7</v>
      </c>
      <c r="P8" s="14" t="s">
        <v>9</v>
      </c>
      <c r="R8" s="14">
        <v>7</v>
      </c>
      <c r="S8" s="14" t="s">
        <v>9</v>
      </c>
      <c r="U8" s="14">
        <v>7</v>
      </c>
      <c r="V8" s="14" t="s">
        <v>9</v>
      </c>
      <c r="X8" s="14">
        <v>7</v>
      </c>
      <c r="Y8" s="14" t="s">
        <v>9</v>
      </c>
      <c r="AA8" s="83">
        <v>7</v>
      </c>
      <c r="AB8" s="83" t="s">
        <v>11</v>
      </c>
      <c r="AC8" s="83"/>
      <c r="AD8" s="83">
        <v>7</v>
      </c>
      <c r="AE8" s="83" t="s">
        <v>52</v>
      </c>
      <c r="AG8" s="14">
        <v>7</v>
      </c>
      <c r="AH8" s="14" t="s">
        <v>11</v>
      </c>
      <c r="AJ8" s="14">
        <v>7</v>
      </c>
      <c r="AK8" s="14" t="s">
        <v>49</v>
      </c>
      <c r="AM8" s="14">
        <v>7</v>
      </c>
      <c r="AN8" s="14" t="s">
        <v>9</v>
      </c>
      <c r="AP8" s="14">
        <v>7</v>
      </c>
      <c r="AQ8" s="14" t="s">
        <v>9</v>
      </c>
      <c r="AS8" s="14">
        <v>7</v>
      </c>
      <c r="AT8" s="14" t="s">
        <v>9</v>
      </c>
      <c r="AV8" s="14">
        <v>7</v>
      </c>
      <c r="AW8" s="14" t="s">
        <v>9</v>
      </c>
    </row>
    <row r="9" spans="1:116">
      <c r="A9" s="41" t="s">
        <v>132</v>
      </c>
      <c r="C9" s="14">
        <v>8</v>
      </c>
      <c r="D9" s="14" t="s">
        <v>10</v>
      </c>
      <c r="F9" s="14">
        <v>8</v>
      </c>
      <c r="G9" s="14" t="s">
        <v>10</v>
      </c>
      <c r="I9" s="14">
        <v>8</v>
      </c>
      <c r="J9" s="14" t="s">
        <v>10</v>
      </c>
      <c r="L9" s="14">
        <v>8</v>
      </c>
      <c r="M9" s="14" t="s">
        <v>10</v>
      </c>
      <c r="O9" s="14">
        <v>8</v>
      </c>
      <c r="P9" s="14" t="s">
        <v>10</v>
      </c>
      <c r="R9" s="14">
        <v>8</v>
      </c>
      <c r="S9" s="14" t="s">
        <v>10</v>
      </c>
      <c r="U9" s="14">
        <v>8</v>
      </c>
      <c r="V9" s="14" t="s">
        <v>10</v>
      </c>
      <c r="X9" s="14">
        <v>8</v>
      </c>
      <c r="Y9" s="14" t="s">
        <v>10</v>
      </c>
      <c r="AA9" s="83">
        <v>8</v>
      </c>
      <c r="AB9" s="83" t="s">
        <v>12</v>
      </c>
      <c r="AC9" s="83"/>
      <c r="AD9" s="83">
        <v>8</v>
      </c>
      <c r="AE9" s="83" t="s">
        <v>53</v>
      </c>
      <c r="AG9" s="14">
        <v>8</v>
      </c>
      <c r="AH9" s="14" t="s">
        <v>12</v>
      </c>
      <c r="AJ9" s="14">
        <v>8</v>
      </c>
      <c r="AK9" s="14" t="s">
        <v>50</v>
      </c>
      <c r="AM9" s="14">
        <v>8</v>
      </c>
      <c r="AN9" s="14" t="s">
        <v>10</v>
      </c>
      <c r="AP9" s="14">
        <v>8</v>
      </c>
      <c r="AQ9" s="14" t="s">
        <v>10</v>
      </c>
      <c r="AS9" s="14">
        <v>8</v>
      </c>
      <c r="AT9" s="14" t="s">
        <v>10</v>
      </c>
      <c r="AV9" s="14">
        <v>8</v>
      </c>
      <c r="AW9" s="14" t="s">
        <v>10</v>
      </c>
    </row>
    <row r="10" spans="1:116">
      <c r="A10" s="41" t="s">
        <v>133</v>
      </c>
      <c r="C10" s="14">
        <v>9</v>
      </c>
      <c r="D10" s="14" t="s">
        <v>11</v>
      </c>
      <c r="F10" s="14">
        <v>9</v>
      </c>
      <c r="G10" s="14" t="s">
        <v>11</v>
      </c>
      <c r="I10" s="14">
        <v>9</v>
      </c>
      <c r="J10" s="14" t="s">
        <v>11</v>
      </c>
      <c r="L10" s="14">
        <v>9</v>
      </c>
      <c r="M10" s="14" t="s">
        <v>11</v>
      </c>
      <c r="O10" s="14">
        <v>9</v>
      </c>
      <c r="P10" s="14" t="s">
        <v>11</v>
      </c>
      <c r="R10" s="14">
        <v>9</v>
      </c>
      <c r="S10" s="14" t="s">
        <v>11</v>
      </c>
      <c r="U10" s="14">
        <v>9</v>
      </c>
      <c r="V10" s="14" t="s">
        <v>11</v>
      </c>
      <c r="X10" s="14">
        <v>9</v>
      </c>
      <c r="Y10" s="14" t="s">
        <v>11</v>
      </c>
      <c r="AA10" s="83">
        <v>9</v>
      </c>
      <c r="AB10" s="83" t="s">
        <v>13</v>
      </c>
      <c r="AC10" s="83"/>
      <c r="AD10" s="83">
        <v>9</v>
      </c>
      <c r="AE10" s="83" t="s">
        <v>115</v>
      </c>
      <c r="AG10" s="14">
        <v>9</v>
      </c>
      <c r="AH10" s="14" t="s">
        <v>13</v>
      </c>
      <c r="AJ10" s="14">
        <v>9</v>
      </c>
      <c r="AK10" s="14" t="s">
        <v>51</v>
      </c>
      <c r="AM10" s="14">
        <v>9</v>
      </c>
      <c r="AN10" s="14" t="s">
        <v>11</v>
      </c>
      <c r="AP10" s="14">
        <v>9</v>
      </c>
      <c r="AQ10" s="14" t="s">
        <v>11</v>
      </c>
      <c r="AS10" s="14">
        <v>9</v>
      </c>
      <c r="AT10" s="14" t="s">
        <v>11</v>
      </c>
      <c r="AV10" s="14">
        <v>9</v>
      </c>
      <c r="AW10" s="14" t="s">
        <v>11</v>
      </c>
    </row>
    <row r="11" spans="1:116">
      <c r="A11" s="41" t="s">
        <v>134</v>
      </c>
      <c r="C11" s="14">
        <v>10</v>
      </c>
      <c r="D11" s="14" t="s">
        <v>12</v>
      </c>
      <c r="F11" s="14">
        <v>10</v>
      </c>
      <c r="G11" s="14" t="s">
        <v>12</v>
      </c>
      <c r="I11" s="14">
        <v>10</v>
      </c>
      <c r="J11" s="14" t="s">
        <v>12</v>
      </c>
      <c r="L11" s="14">
        <v>10</v>
      </c>
      <c r="M11" s="14" t="s">
        <v>12</v>
      </c>
      <c r="O11" s="14">
        <v>10</v>
      </c>
      <c r="P11" s="14" t="s">
        <v>12</v>
      </c>
      <c r="R11" s="14">
        <v>10</v>
      </c>
      <c r="S11" s="14" t="s">
        <v>12</v>
      </c>
      <c r="U11" s="14">
        <v>10</v>
      </c>
      <c r="V11" s="14" t="s">
        <v>12</v>
      </c>
      <c r="X11" s="14">
        <v>10</v>
      </c>
      <c r="Y11" s="14" t="s">
        <v>12</v>
      </c>
      <c r="AA11" s="83">
        <v>10</v>
      </c>
      <c r="AB11" s="83" t="s">
        <v>14</v>
      </c>
      <c r="AC11" s="83"/>
      <c r="AD11" s="83">
        <v>10</v>
      </c>
      <c r="AE11" s="83" t="s">
        <v>116</v>
      </c>
      <c r="AG11" s="14">
        <v>10</v>
      </c>
      <c r="AH11" s="14" t="s">
        <v>14</v>
      </c>
      <c r="AJ11" s="14">
        <v>10</v>
      </c>
      <c r="AK11" s="14" t="s">
        <v>52</v>
      </c>
      <c r="AM11" s="14">
        <v>10</v>
      </c>
      <c r="AN11" s="14" t="s">
        <v>12</v>
      </c>
      <c r="AP11" s="14">
        <v>10</v>
      </c>
      <c r="AQ11" s="14" t="s">
        <v>12</v>
      </c>
      <c r="AS11" s="14">
        <v>10</v>
      </c>
      <c r="AT11" s="14" t="s">
        <v>12</v>
      </c>
      <c r="AV11" s="14">
        <v>10</v>
      </c>
      <c r="AW11" s="14" t="s">
        <v>12</v>
      </c>
    </row>
    <row r="12" spans="1:116">
      <c r="A12" s="41" t="s">
        <v>56</v>
      </c>
      <c r="C12" s="14">
        <v>11</v>
      </c>
      <c r="D12" s="14" t="s">
        <v>13</v>
      </c>
      <c r="F12" s="14">
        <v>11</v>
      </c>
      <c r="G12" s="14" t="s">
        <v>13</v>
      </c>
      <c r="I12" s="14">
        <v>11</v>
      </c>
      <c r="J12" s="14" t="s">
        <v>13</v>
      </c>
      <c r="L12" s="14">
        <v>11</v>
      </c>
      <c r="M12" s="14" t="s">
        <v>13</v>
      </c>
      <c r="O12" s="14">
        <v>11</v>
      </c>
      <c r="P12" s="14" t="s">
        <v>13</v>
      </c>
      <c r="R12" s="14">
        <v>11</v>
      </c>
      <c r="S12" s="14" t="s">
        <v>13</v>
      </c>
      <c r="U12" s="14">
        <v>11</v>
      </c>
      <c r="V12" s="14" t="s">
        <v>13</v>
      </c>
      <c r="X12" s="14">
        <v>11</v>
      </c>
      <c r="Y12" s="14" t="s">
        <v>13</v>
      </c>
      <c r="AA12" s="83">
        <v>11</v>
      </c>
      <c r="AB12" s="83" t="s">
        <v>15</v>
      </c>
      <c r="AC12" s="83"/>
      <c r="AD12" s="83">
        <v>11</v>
      </c>
      <c r="AE12" s="83" t="s">
        <v>117</v>
      </c>
      <c r="AG12" s="14">
        <v>11</v>
      </c>
      <c r="AH12" s="14" t="s">
        <v>15</v>
      </c>
      <c r="AJ12" s="14">
        <v>11</v>
      </c>
      <c r="AK12" s="14" t="s">
        <v>117</v>
      </c>
      <c r="AM12" s="14">
        <v>11</v>
      </c>
      <c r="AN12" s="14" t="s">
        <v>13</v>
      </c>
      <c r="AP12" s="14">
        <v>11</v>
      </c>
      <c r="AQ12" s="14" t="s">
        <v>13</v>
      </c>
      <c r="AS12" s="14">
        <v>11</v>
      </c>
      <c r="AT12" s="14" t="s">
        <v>13</v>
      </c>
      <c r="AV12" s="14">
        <v>11</v>
      </c>
      <c r="AW12" s="14" t="s">
        <v>13</v>
      </c>
    </row>
    <row r="13" spans="1:116">
      <c r="A13" s="41" t="s">
        <v>57</v>
      </c>
      <c r="C13" s="14">
        <v>12</v>
      </c>
      <c r="D13" s="14" t="s">
        <v>14</v>
      </c>
      <c r="F13" s="14">
        <v>12</v>
      </c>
      <c r="G13" s="14" t="s">
        <v>14</v>
      </c>
      <c r="I13" s="14">
        <v>12</v>
      </c>
      <c r="J13" s="14" t="s">
        <v>14</v>
      </c>
      <c r="L13" s="14">
        <v>12</v>
      </c>
      <c r="M13" s="14" t="s">
        <v>14</v>
      </c>
      <c r="O13" s="14">
        <v>12</v>
      </c>
      <c r="P13" s="14" t="s">
        <v>14</v>
      </c>
      <c r="R13" s="14">
        <v>12</v>
      </c>
      <c r="S13" s="14" t="s">
        <v>14</v>
      </c>
      <c r="U13" s="14">
        <v>12</v>
      </c>
      <c r="V13" s="14" t="s">
        <v>14</v>
      </c>
      <c r="X13" s="14">
        <v>12</v>
      </c>
      <c r="Y13" s="14" t="s">
        <v>14</v>
      </c>
      <c r="AA13" s="83">
        <v>12</v>
      </c>
      <c r="AB13" s="83" t="s">
        <v>16</v>
      </c>
      <c r="AC13" s="83"/>
      <c r="AD13" s="83">
        <v>12</v>
      </c>
      <c r="AE13" s="83" t="s">
        <v>118</v>
      </c>
      <c r="AF13" s="83"/>
      <c r="AG13" s="83">
        <v>12</v>
      </c>
      <c r="AH13" s="14" t="s">
        <v>16</v>
      </c>
      <c r="AJ13" s="14">
        <v>12</v>
      </c>
      <c r="AK13" s="14" t="s">
        <v>118</v>
      </c>
      <c r="AM13" s="14">
        <v>12</v>
      </c>
      <c r="AN13" s="14" t="s">
        <v>14</v>
      </c>
      <c r="AP13" s="14">
        <v>12</v>
      </c>
      <c r="AQ13" s="14" t="s">
        <v>14</v>
      </c>
      <c r="AS13" s="14">
        <v>12</v>
      </c>
      <c r="AT13" s="14" t="s">
        <v>14</v>
      </c>
      <c r="AV13" s="14">
        <v>12</v>
      </c>
      <c r="AW13" s="14" t="s">
        <v>14</v>
      </c>
    </row>
    <row r="14" spans="1:116">
      <c r="A14" s="41" t="s">
        <v>58</v>
      </c>
      <c r="C14" s="14">
        <v>13</v>
      </c>
      <c r="D14" s="14" t="s">
        <v>15</v>
      </c>
      <c r="F14" s="14">
        <v>13</v>
      </c>
      <c r="G14" s="14" t="s">
        <v>15</v>
      </c>
      <c r="I14" s="14">
        <v>13</v>
      </c>
      <c r="J14" s="14" t="s">
        <v>15</v>
      </c>
      <c r="L14" s="14">
        <v>13</v>
      </c>
      <c r="M14" s="14" t="s">
        <v>15</v>
      </c>
      <c r="O14" s="14">
        <v>13</v>
      </c>
      <c r="P14" s="14" t="s">
        <v>15</v>
      </c>
      <c r="R14" s="14">
        <v>13</v>
      </c>
      <c r="S14" s="14" t="s">
        <v>15</v>
      </c>
      <c r="U14" s="14">
        <v>13</v>
      </c>
      <c r="V14" s="14" t="s">
        <v>20</v>
      </c>
      <c r="X14" s="14">
        <v>13</v>
      </c>
      <c r="Y14" s="14" t="s">
        <v>20</v>
      </c>
      <c r="AA14" s="83">
        <v>13</v>
      </c>
      <c r="AB14" s="83" t="s">
        <v>17</v>
      </c>
      <c r="AC14" s="83"/>
      <c r="AD14" s="83">
        <v>13</v>
      </c>
      <c r="AE14" s="83" t="s">
        <v>120</v>
      </c>
      <c r="AF14" s="83"/>
      <c r="AG14" s="83">
        <v>13</v>
      </c>
      <c r="AH14" s="14" t="s">
        <v>17</v>
      </c>
      <c r="AJ14" s="14">
        <v>13</v>
      </c>
      <c r="AK14" s="14" t="s">
        <v>120</v>
      </c>
      <c r="AM14" s="14">
        <v>13</v>
      </c>
      <c r="AN14" s="14" t="s">
        <v>15</v>
      </c>
      <c r="AP14" s="14">
        <v>13</v>
      </c>
      <c r="AQ14" s="14" t="s">
        <v>15</v>
      </c>
      <c r="AS14" s="14">
        <v>13</v>
      </c>
      <c r="AT14" s="14" t="s">
        <v>15</v>
      </c>
      <c r="AV14" s="14">
        <v>13</v>
      </c>
      <c r="AW14" s="14" t="s">
        <v>15</v>
      </c>
    </row>
    <row r="15" spans="1:116">
      <c r="A15" s="41" t="s">
        <v>59</v>
      </c>
      <c r="C15" s="14">
        <v>14</v>
      </c>
      <c r="D15" s="14" t="s">
        <v>16</v>
      </c>
      <c r="F15" s="14">
        <v>14</v>
      </c>
      <c r="G15" s="14" t="s">
        <v>16</v>
      </c>
      <c r="I15" s="14">
        <v>14</v>
      </c>
      <c r="J15" s="14" t="s">
        <v>16</v>
      </c>
      <c r="L15" s="14">
        <v>14</v>
      </c>
      <c r="M15" s="14" t="s">
        <v>16</v>
      </c>
      <c r="O15" s="14">
        <v>14</v>
      </c>
      <c r="P15" s="14" t="s">
        <v>16</v>
      </c>
      <c r="R15" s="14">
        <v>14</v>
      </c>
      <c r="S15" s="14" t="s">
        <v>16</v>
      </c>
      <c r="U15" s="14">
        <v>14</v>
      </c>
      <c r="V15" s="14" t="s">
        <v>21</v>
      </c>
      <c r="X15" s="14">
        <v>14</v>
      </c>
      <c r="Y15" s="14" t="s">
        <v>21</v>
      </c>
      <c r="AA15" s="83">
        <v>14</v>
      </c>
      <c r="AB15" s="83" t="s">
        <v>18</v>
      </c>
      <c r="AC15" s="83"/>
      <c r="AD15" s="83">
        <v>14</v>
      </c>
      <c r="AE15" s="83" t="s">
        <v>121</v>
      </c>
      <c r="AF15" s="83"/>
      <c r="AG15" s="83">
        <v>14</v>
      </c>
      <c r="AH15" s="14" t="s">
        <v>45</v>
      </c>
      <c r="AJ15" s="14">
        <v>14</v>
      </c>
      <c r="AK15" s="14" t="s">
        <v>121</v>
      </c>
      <c r="AM15" s="14">
        <v>14</v>
      </c>
      <c r="AN15" s="14" t="s">
        <v>16</v>
      </c>
      <c r="AP15" s="14">
        <v>14</v>
      </c>
      <c r="AQ15" s="14" t="s">
        <v>16</v>
      </c>
      <c r="AS15" s="14">
        <v>14</v>
      </c>
      <c r="AT15" s="14" t="s">
        <v>16</v>
      </c>
      <c r="AV15" s="14">
        <v>14</v>
      </c>
      <c r="AW15" s="14" t="s">
        <v>16</v>
      </c>
    </row>
    <row r="16" spans="1:116">
      <c r="A16" s="40" t="s">
        <v>151</v>
      </c>
      <c r="C16" s="14">
        <v>15</v>
      </c>
      <c r="D16" s="14" t="s">
        <v>17</v>
      </c>
      <c r="F16" s="14">
        <v>15</v>
      </c>
      <c r="G16" s="14" t="s">
        <v>17</v>
      </c>
      <c r="I16" s="14">
        <v>15</v>
      </c>
      <c r="J16" s="14" t="s">
        <v>17</v>
      </c>
      <c r="L16" s="14">
        <v>15</v>
      </c>
      <c r="M16" s="14" t="s">
        <v>17</v>
      </c>
      <c r="O16" s="14">
        <v>15</v>
      </c>
      <c r="P16" s="14" t="s">
        <v>20</v>
      </c>
      <c r="R16" s="14">
        <v>15</v>
      </c>
      <c r="S16" s="14" t="s">
        <v>17</v>
      </c>
      <c r="U16" s="14">
        <v>15</v>
      </c>
      <c r="V16" s="14" t="s">
        <v>22</v>
      </c>
      <c r="X16" s="14">
        <v>15</v>
      </c>
      <c r="Y16" s="14" t="s">
        <v>22</v>
      </c>
      <c r="AA16" s="83">
        <v>15</v>
      </c>
      <c r="AB16" s="83" t="s">
        <v>42</v>
      </c>
      <c r="AC16" s="83"/>
      <c r="AD16" s="83">
        <v>15</v>
      </c>
      <c r="AE16" s="83" t="s">
        <v>30</v>
      </c>
      <c r="AF16" s="83"/>
      <c r="AG16" s="83">
        <v>15</v>
      </c>
      <c r="AH16" s="14" t="s">
        <v>46</v>
      </c>
      <c r="AJ16" s="14">
        <v>15</v>
      </c>
      <c r="AK16" s="14" t="s">
        <v>122</v>
      </c>
      <c r="AM16" s="14">
        <v>15</v>
      </c>
      <c r="AN16" s="14" t="s">
        <v>20</v>
      </c>
      <c r="AP16" s="14">
        <v>15</v>
      </c>
      <c r="AQ16" s="14" t="s">
        <v>17</v>
      </c>
      <c r="AS16" s="14">
        <v>15</v>
      </c>
      <c r="AT16" s="14" t="s">
        <v>17</v>
      </c>
      <c r="AV16" s="14">
        <v>15</v>
      </c>
      <c r="AW16" s="14" t="s">
        <v>17</v>
      </c>
    </row>
    <row r="17" spans="1:49">
      <c r="A17" s="40" t="s">
        <v>152</v>
      </c>
      <c r="C17" s="14">
        <v>16</v>
      </c>
      <c r="D17" s="14" t="s">
        <v>18</v>
      </c>
      <c r="F17" s="14">
        <v>16</v>
      </c>
      <c r="G17" s="14" t="s">
        <v>18</v>
      </c>
      <c r="I17" s="14">
        <v>16</v>
      </c>
      <c r="J17" s="14" t="s">
        <v>18</v>
      </c>
      <c r="L17" s="14">
        <v>16</v>
      </c>
      <c r="M17" s="14" t="s">
        <v>18</v>
      </c>
      <c r="O17" s="14">
        <v>16</v>
      </c>
      <c r="P17" s="14" t="s">
        <v>21</v>
      </c>
      <c r="R17" s="14">
        <v>16</v>
      </c>
      <c r="S17" s="14" t="s">
        <v>18</v>
      </c>
      <c r="U17" s="14">
        <v>16</v>
      </c>
      <c r="V17" s="14" t="s">
        <v>23</v>
      </c>
      <c r="X17" s="14">
        <v>16</v>
      </c>
      <c r="Y17" s="14" t="s">
        <v>23</v>
      </c>
      <c r="AA17" s="83">
        <v>16</v>
      </c>
      <c r="AB17" s="83" t="s">
        <v>43</v>
      </c>
      <c r="AC17" s="83"/>
      <c r="AD17" s="83">
        <v>16</v>
      </c>
      <c r="AE17" s="83" t="s">
        <v>128</v>
      </c>
      <c r="AF17" s="83"/>
      <c r="AG17" s="83">
        <v>16</v>
      </c>
      <c r="AH17" s="14" t="s">
        <v>47</v>
      </c>
      <c r="AJ17" s="14">
        <v>16</v>
      </c>
      <c r="AK17" s="14" t="s">
        <v>123</v>
      </c>
      <c r="AM17" s="14">
        <v>16</v>
      </c>
      <c r="AN17" s="14" t="s">
        <v>21</v>
      </c>
      <c r="AP17" s="14">
        <v>16</v>
      </c>
      <c r="AQ17" s="14" t="s">
        <v>18</v>
      </c>
      <c r="AS17" s="14">
        <v>16</v>
      </c>
      <c r="AT17" s="14" t="s">
        <v>18</v>
      </c>
      <c r="AV17" s="14">
        <v>16</v>
      </c>
      <c r="AW17" s="14" t="s">
        <v>18</v>
      </c>
    </row>
    <row r="18" spans="1:49">
      <c r="C18" s="14">
        <v>17</v>
      </c>
      <c r="D18" s="14" t="s">
        <v>42</v>
      </c>
      <c r="F18" s="14">
        <v>17</v>
      </c>
      <c r="G18" s="14" t="s">
        <v>42</v>
      </c>
      <c r="I18" s="14">
        <v>17</v>
      </c>
      <c r="J18" s="14" t="s">
        <v>20</v>
      </c>
      <c r="L18" s="14">
        <v>17</v>
      </c>
      <c r="M18" s="14" t="s">
        <v>20</v>
      </c>
      <c r="O18" s="14">
        <v>17</v>
      </c>
      <c r="P18" s="14" t="s">
        <v>22</v>
      </c>
      <c r="R18" s="14">
        <v>17</v>
      </c>
      <c r="S18" s="14" t="s">
        <v>42</v>
      </c>
      <c r="U18" s="14">
        <v>17</v>
      </c>
      <c r="V18" s="14" t="s">
        <v>26</v>
      </c>
      <c r="X18" s="14">
        <v>17</v>
      </c>
      <c r="Y18" s="14" t="s">
        <v>26</v>
      </c>
      <c r="AA18" s="83">
        <v>17</v>
      </c>
      <c r="AB18" s="83" t="s">
        <v>44</v>
      </c>
      <c r="AC18" s="83"/>
      <c r="AD18" s="83">
        <v>17</v>
      </c>
      <c r="AE18" s="83" t="s">
        <v>127</v>
      </c>
      <c r="AF18" s="83"/>
      <c r="AG18" s="83">
        <v>17</v>
      </c>
      <c r="AH18" s="14" t="s">
        <v>48</v>
      </c>
      <c r="AJ18" s="14">
        <v>17</v>
      </c>
      <c r="AK18" s="14" t="s">
        <v>124</v>
      </c>
      <c r="AM18" s="14">
        <v>17</v>
      </c>
      <c r="AN18" s="14" t="s">
        <v>22</v>
      </c>
      <c r="AP18" s="14">
        <v>17</v>
      </c>
      <c r="AQ18" s="14" t="s">
        <v>42</v>
      </c>
      <c r="AS18" s="14">
        <v>17</v>
      </c>
      <c r="AT18" s="14" t="s">
        <v>42</v>
      </c>
      <c r="AV18" s="14">
        <v>17</v>
      </c>
      <c r="AW18" s="14" t="s">
        <v>42</v>
      </c>
    </row>
    <row r="19" spans="1:49">
      <c r="C19" s="14">
        <v>18</v>
      </c>
      <c r="D19" s="14" t="s">
        <v>43</v>
      </c>
      <c r="F19" s="14">
        <v>18</v>
      </c>
      <c r="G19" s="14" t="s">
        <v>43</v>
      </c>
      <c r="I19" s="14">
        <v>18</v>
      </c>
      <c r="J19" s="14" t="s">
        <v>21</v>
      </c>
      <c r="L19" s="14">
        <v>18</v>
      </c>
      <c r="M19" s="14" t="s">
        <v>21</v>
      </c>
      <c r="O19" s="14">
        <v>18</v>
      </c>
      <c r="P19" s="14" t="s">
        <v>23</v>
      </c>
      <c r="R19" s="14">
        <v>18</v>
      </c>
      <c r="S19" s="14" t="s">
        <v>43</v>
      </c>
      <c r="U19" s="14">
        <v>18</v>
      </c>
      <c r="V19" s="14" t="s">
        <v>25</v>
      </c>
      <c r="X19" s="14">
        <v>18</v>
      </c>
      <c r="Y19" s="14" t="s">
        <v>25</v>
      </c>
      <c r="AA19" s="83">
        <v>18</v>
      </c>
      <c r="AB19" s="83" t="s">
        <v>49</v>
      </c>
      <c r="AC19" s="83"/>
      <c r="AD19" s="83">
        <v>18</v>
      </c>
      <c r="AE19" s="83" t="s">
        <v>31</v>
      </c>
      <c r="AF19" s="83"/>
      <c r="AG19" s="83">
        <v>18</v>
      </c>
      <c r="AH19" s="14" t="s">
        <v>53</v>
      </c>
      <c r="AJ19" s="14">
        <v>18</v>
      </c>
      <c r="AK19" s="14" t="s">
        <v>125</v>
      </c>
      <c r="AM19" s="14">
        <v>18</v>
      </c>
      <c r="AN19" s="14" t="s">
        <v>23</v>
      </c>
      <c r="AP19" s="14">
        <v>18</v>
      </c>
      <c r="AQ19" s="14" t="s">
        <v>43</v>
      </c>
      <c r="AS19" s="14">
        <v>18</v>
      </c>
      <c r="AT19" s="14" t="s">
        <v>43</v>
      </c>
      <c r="AV19" s="14">
        <v>18</v>
      </c>
      <c r="AW19" s="14" t="s">
        <v>43</v>
      </c>
    </row>
    <row r="20" spans="1:49">
      <c r="C20" s="14">
        <v>19</v>
      </c>
      <c r="D20" s="14" t="s">
        <v>44</v>
      </c>
      <c r="F20" s="14">
        <v>19</v>
      </c>
      <c r="G20" s="14" t="s">
        <v>44</v>
      </c>
      <c r="I20" s="14">
        <v>19</v>
      </c>
      <c r="J20" s="14" t="s">
        <v>22</v>
      </c>
      <c r="L20" s="14">
        <v>19</v>
      </c>
      <c r="M20" s="14" t="s">
        <v>22</v>
      </c>
      <c r="O20" s="14">
        <v>19</v>
      </c>
      <c r="P20" s="14" t="s">
        <v>26</v>
      </c>
      <c r="R20" s="14">
        <v>19</v>
      </c>
      <c r="S20" s="14" t="s">
        <v>44</v>
      </c>
      <c r="U20" s="14">
        <v>19</v>
      </c>
      <c r="V20" s="14" t="s">
        <v>24</v>
      </c>
      <c r="X20" s="14">
        <v>19</v>
      </c>
      <c r="Y20" s="14" t="s">
        <v>24</v>
      </c>
      <c r="AA20" s="83">
        <v>19</v>
      </c>
      <c r="AB20" s="83" t="s">
        <v>50</v>
      </c>
      <c r="AC20" s="83"/>
      <c r="AD20" s="83"/>
      <c r="AE20" s="83"/>
      <c r="AF20" s="83"/>
      <c r="AG20" s="83">
        <v>19</v>
      </c>
      <c r="AH20" s="14" t="s">
        <v>115</v>
      </c>
      <c r="AJ20" s="14">
        <v>19</v>
      </c>
      <c r="AK20" s="14" t="s">
        <v>126</v>
      </c>
      <c r="AM20" s="14">
        <v>19</v>
      </c>
      <c r="AN20" s="14" t="s">
        <v>26</v>
      </c>
      <c r="AP20" s="14">
        <v>19</v>
      </c>
      <c r="AQ20" s="14" t="s">
        <v>44</v>
      </c>
      <c r="AS20" s="14">
        <v>19</v>
      </c>
      <c r="AT20" s="14" t="s">
        <v>44</v>
      </c>
      <c r="AV20" s="14">
        <v>19</v>
      </c>
      <c r="AW20" s="14" t="s">
        <v>44</v>
      </c>
    </row>
    <row r="21" spans="1:49">
      <c r="C21" s="14">
        <v>20</v>
      </c>
      <c r="D21" s="14" t="s">
        <v>20</v>
      </c>
      <c r="F21" s="14">
        <v>20</v>
      </c>
      <c r="G21" s="14" t="s">
        <v>45</v>
      </c>
      <c r="I21" s="14">
        <v>20</v>
      </c>
      <c r="J21" s="14" t="s">
        <v>23</v>
      </c>
      <c r="L21" s="14">
        <v>20</v>
      </c>
      <c r="M21" s="14" t="s">
        <v>23</v>
      </c>
      <c r="O21" s="14">
        <v>20</v>
      </c>
      <c r="P21" s="14" t="s">
        <v>25</v>
      </c>
      <c r="R21" s="14">
        <v>20</v>
      </c>
      <c r="S21" s="14" t="s">
        <v>45</v>
      </c>
      <c r="U21" s="14">
        <v>20</v>
      </c>
      <c r="V21" s="14" t="s">
        <v>27</v>
      </c>
      <c r="X21" s="14">
        <v>20</v>
      </c>
      <c r="Y21" s="14" t="s">
        <v>27</v>
      </c>
      <c r="AA21" s="83">
        <v>20</v>
      </c>
      <c r="AB21" s="83" t="s">
        <v>51</v>
      </c>
      <c r="AC21" s="83"/>
      <c r="AD21" s="83"/>
      <c r="AE21" s="83"/>
      <c r="AF21" s="83"/>
      <c r="AG21" s="83">
        <v>20</v>
      </c>
      <c r="AH21" s="14" t="s">
        <v>116</v>
      </c>
      <c r="AJ21" s="14">
        <v>20</v>
      </c>
      <c r="AK21" s="14" t="s">
        <v>30</v>
      </c>
      <c r="AM21" s="14">
        <v>20</v>
      </c>
      <c r="AN21" s="14" t="s">
        <v>25</v>
      </c>
      <c r="AP21" s="14">
        <v>20</v>
      </c>
      <c r="AQ21" s="14" t="s">
        <v>45</v>
      </c>
      <c r="AS21" s="14">
        <v>20</v>
      </c>
      <c r="AT21" s="14" t="s">
        <v>45</v>
      </c>
      <c r="AV21" s="14">
        <v>20</v>
      </c>
      <c r="AW21" s="14" t="s">
        <v>45</v>
      </c>
    </row>
    <row r="22" spans="1:49">
      <c r="C22" s="14">
        <v>21</v>
      </c>
      <c r="D22" s="14" t="s">
        <v>21</v>
      </c>
      <c r="F22" s="14">
        <v>21</v>
      </c>
      <c r="G22" s="14" t="s">
        <v>46</v>
      </c>
      <c r="I22" s="14">
        <v>21</v>
      </c>
      <c r="J22" s="14" t="s">
        <v>26</v>
      </c>
      <c r="L22" s="14">
        <v>21</v>
      </c>
      <c r="M22" s="14" t="s">
        <v>26</v>
      </c>
      <c r="O22" s="14">
        <v>21</v>
      </c>
      <c r="P22" s="14" t="s">
        <v>24</v>
      </c>
      <c r="R22" s="14">
        <v>21</v>
      </c>
      <c r="S22" s="14" t="s">
        <v>46</v>
      </c>
      <c r="U22" s="14">
        <v>21</v>
      </c>
      <c r="V22" s="14" t="s">
        <v>28</v>
      </c>
      <c r="X22" s="14">
        <v>21</v>
      </c>
      <c r="Y22" s="14" t="s">
        <v>28</v>
      </c>
      <c r="AA22" s="83">
        <v>21</v>
      </c>
      <c r="AB22" s="83" t="s">
        <v>20</v>
      </c>
      <c r="AC22" s="83"/>
      <c r="AD22" s="83"/>
      <c r="AE22" s="83"/>
      <c r="AF22" s="83"/>
      <c r="AG22" s="83">
        <v>21</v>
      </c>
      <c r="AH22" s="14" t="s">
        <v>20</v>
      </c>
      <c r="AJ22" s="14">
        <v>21</v>
      </c>
      <c r="AK22" s="14" t="s">
        <v>128</v>
      </c>
      <c r="AM22" s="14">
        <v>21</v>
      </c>
      <c r="AN22" s="14" t="s">
        <v>24</v>
      </c>
      <c r="AP22" s="14">
        <v>21</v>
      </c>
      <c r="AQ22" s="14" t="s">
        <v>46</v>
      </c>
      <c r="AS22" s="14">
        <v>21</v>
      </c>
      <c r="AT22" s="14" t="s">
        <v>46</v>
      </c>
      <c r="AV22" s="14">
        <v>21</v>
      </c>
      <c r="AW22" s="14" t="s">
        <v>46</v>
      </c>
    </row>
    <row r="23" spans="1:49">
      <c r="C23" s="14">
        <v>22</v>
      </c>
      <c r="D23" s="14" t="s">
        <v>22</v>
      </c>
      <c r="F23" s="14">
        <v>22</v>
      </c>
      <c r="G23" s="14" t="s">
        <v>47</v>
      </c>
      <c r="I23" s="14">
        <v>22</v>
      </c>
      <c r="J23" s="14" t="s">
        <v>25</v>
      </c>
      <c r="L23" s="14">
        <v>22</v>
      </c>
      <c r="M23" s="14" t="s">
        <v>25</v>
      </c>
      <c r="O23" s="14">
        <v>22</v>
      </c>
      <c r="P23" s="14" t="s">
        <v>27</v>
      </c>
      <c r="R23" s="14">
        <v>22</v>
      </c>
      <c r="S23" s="14" t="s">
        <v>47</v>
      </c>
      <c r="U23" s="14">
        <v>22</v>
      </c>
      <c r="V23" s="14" t="s">
        <v>29</v>
      </c>
      <c r="X23" s="14">
        <v>22</v>
      </c>
      <c r="Y23" s="14" t="s">
        <v>29</v>
      </c>
      <c r="AA23" s="83">
        <v>22</v>
      </c>
      <c r="AB23" s="83" t="s">
        <v>21</v>
      </c>
      <c r="AC23" s="83"/>
      <c r="AD23" s="83"/>
      <c r="AE23" s="83"/>
      <c r="AF23" s="83"/>
      <c r="AG23" s="83">
        <v>22</v>
      </c>
      <c r="AH23" s="14" t="s">
        <v>22</v>
      </c>
      <c r="AJ23" s="14">
        <v>22</v>
      </c>
      <c r="AK23" s="14" t="s">
        <v>127</v>
      </c>
      <c r="AM23" s="14">
        <v>22</v>
      </c>
      <c r="AN23" s="14" t="s">
        <v>27</v>
      </c>
      <c r="AP23" s="14">
        <v>22</v>
      </c>
      <c r="AQ23" s="14" t="s">
        <v>47</v>
      </c>
      <c r="AS23" s="14">
        <v>22</v>
      </c>
      <c r="AT23" s="14" t="s">
        <v>47</v>
      </c>
      <c r="AV23" s="14">
        <v>22</v>
      </c>
      <c r="AW23" s="14" t="s">
        <v>47</v>
      </c>
    </row>
    <row r="24" spans="1:49">
      <c r="C24" s="14">
        <v>23</v>
      </c>
      <c r="D24" s="14" t="s">
        <v>23</v>
      </c>
      <c r="F24" s="14">
        <v>23</v>
      </c>
      <c r="G24" s="14" t="s">
        <v>48</v>
      </c>
      <c r="I24" s="14">
        <v>23</v>
      </c>
      <c r="J24" s="14" t="s">
        <v>24</v>
      </c>
      <c r="L24" s="14">
        <v>23</v>
      </c>
      <c r="M24" s="14" t="s">
        <v>24</v>
      </c>
      <c r="O24" s="14">
        <v>23</v>
      </c>
      <c r="P24" s="14" t="s">
        <v>28</v>
      </c>
      <c r="R24" s="14">
        <v>23</v>
      </c>
      <c r="S24" s="14" t="s">
        <v>48</v>
      </c>
      <c r="U24" s="14">
        <v>23</v>
      </c>
      <c r="V24" s="14" t="s">
        <v>32</v>
      </c>
      <c r="X24" s="14">
        <v>23</v>
      </c>
      <c r="Y24" s="14" t="s">
        <v>32</v>
      </c>
      <c r="AA24" s="83">
        <v>23</v>
      </c>
      <c r="AB24" s="83" t="s">
        <v>22</v>
      </c>
      <c r="AC24" s="83"/>
      <c r="AD24" s="83"/>
      <c r="AE24" s="83"/>
      <c r="AF24" s="83"/>
      <c r="AG24" s="83">
        <v>23</v>
      </c>
      <c r="AH24" s="14" t="s">
        <v>26</v>
      </c>
      <c r="AJ24" s="14">
        <v>23</v>
      </c>
      <c r="AK24" s="14" t="s">
        <v>31</v>
      </c>
      <c r="AM24" s="14">
        <v>23</v>
      </c>
      <c r="AN24" s="14" t="s">
        <v>28</v>
      </c>
      <c r="AP24" s="14">
        <v>23</v>
      </c>
      <c r="AQ24" s="14" t="s">
        <v>48</v>
      </c>
      <c r="AS24" s="14">
        <v>23</v>
      </c>
      <c r="AT24" s="14" t="s">
        <v>48</v>
      </c>
      <c r="AV24" s="14">
        <v>23</v>
      </c>
      <c r="AW24" s="14" t="s">
        <v>48</v>
      </c>
    </row>
    <row r="25" spans="1:49">
      <c r="C25" s="14">
        <v>24</v>
      </c>
      <c r="D25" s="14" t="s">
        <v>26</v>
      </c>
      <c r="F25" s="14">
        <v>24</v>
      </c>
      <c r="G25" s="14" t="s">
        <v>49</v>
      </c>
      <c r="I25" s="14">
        <v>24</v>
      </c>
      <c r="J25" s="14" t="s">
        <v>27</v>
      </c>
      <c r="L25" s="14">
        <v>24</v>
      </c>
      <c r="M25" s="14" t="s">
        <v>27</v>
      </c>
      <c r="O25" s="14">
        <v>24</v>
      </c>
      <c r="P25" s="14" t="s">
        <v>29</v>
      </c>
      <c r="R25" s="14">
        <v>24</v>
      </c>
      <c r="S25" s="14" t="s">
        <v>49</v>
      </c>
      <c r="U25" s="14">
        <v>24</v>
      </c>
      <c r="V25" s="14" t="s">
        <v>31</v>
      </c>
      <c r="X25" s="14">
        <v>24</v>
      </c>
      <c r="Y25" s="14" t="s">
        <v>31</v>
      </c>
      <c r="AA25" s="83">
        <v>24</v>
      </c>
      <c r="AB25" s="83" t="s">
        <v>23</v>
      </c>
      <c r="AC25" s="83"/>
      <c r="AD25" s="83"/>
      <c r="AE25" s="83"/>
      <c r="AF25" s="83"/>
      <c r="AG25" s="83">
        <v>24</v>
      </c>
      <c r="AH25" s="14" t="s">
        <v>24</v>
      </c>
      <c r="AM25" s="14">
        <v>24</v>
      </c>
      <c r="AN25" s="14" t="s">
        <v>29</v>
      </c>
      <c r="AP25" s="14">
        <v>24</v>
      </c>
      <c r="AQ25" s="14" t="s">
        <v>49</v>
      </c>
      <c r="AS25" s="14">
        <v>24</v>
      </c>
      <c r="AT25" s="14" t="s">
        <v>49</v>
      </c>
      <c r="AV25" s="14">
        <v>24</v>
      </c>
      <c r="AW25" s="14" t="s">
        <v>49</v>
      </c>
    </row>
    <row r="26" spans="1:49">
      <c r="C26" s="14">
        <v>25</v>
      </c>
      <c r="D26" s="14" t="s">
        <v>25</v>
      </c>
      <c r="F26" s="14">
        <v>25</v>
      </c>
      <c r="G26" s="14" t="s">
        <v>50</v>
      </c>
      <c r="I26" s="14">
        <v>25</v>
      </c>
      <c r="J26" s="14" t="s">
        <v>28</v>
      </c>
      <c r="L26" s="14">
        <v>25</v>
      </c>
      <c r="M26" s="14" t="s">
        <v>28</v>
      </c>
      <c r="O26" s="14">
        <v>25</v>
      </c>
      <c r="P26" s="14" t="s">
        <v>30</v>
      </c>
      <c r="R26" s="14">
        <v>25</v>
      </c>
      <c r="S26" s="14" t="s">
        <v>50</v>
      </c>
      <c r="AA26" s="83">
        <v>25</v>
      </c>
      <c r="AB26" s="83" t="s">
        <v>26</v>
      </c>
      <c r="AC26" s="83"/>
      <c r="AD26" s="83"/>
      <c r="AE26" s="83"/>
      <c r="AF26" s="83"/>
      <c r="AG26" s="83">
        <v>25</v>
      </c>
      <c r="AH26" s="14" t="s">
        <v>28</v>
      </c>
      <c r="AM26" s="14">
        <v>25</v>
      </c>
      <c r="AN26" s="14" t="s">
        <v>128</v>
      </c>
      <c r="AP26" s="14">
        <v>25</v>
      </c>
      <c r="AQ26" s="14" t="s">
        <v>50</v>
      </c>
      <c r="AS26" s="14">
        <v>25</v>
      </c>
      <c r="AT26" s="14" t="s">
        <v>50</v>
      </c>
      <c r="AV26" s="14">
        <v>25</v>
      </c>
      <c r="AW26" s="14" t="s">
        <v>50</v>
      </c>
    </row>
    <row r="27" spans="1:49">
      <c r="C27" s="14">
        <v>26</v>
      </c>
      <c r="D27" s="14" t="s">
        <v>24</v>
      </c>
      <c r="F27" s="14">
        <v>26</v>
      </c>
      <c r="G27" s="14" t="s">
        <v>51</v>
      </c>
      <c r="I27" s="14">
        <v>26</v>
      </c>
      <c r="J27" s="14" t="s">
        <v>29</v>
      </c>
      <c r="L27" s="14">
        <v>26</v>
      </c>
      <c r="M27" s="14" t="s">
        <v>29</v>
      </c>
      <c r="O27" s="14">
        <v>26</v>
      </c>
      <c r="P27" s="14" t="s">
        <v>32</v>
      </c>
      <c r="R27" s="14">
        <v>26</v>
      </c>
      <c r="S27" s="14" t="s">
        <v>51</v>
      </c>
      <c r="AA27" s="83">
        <v>26</v>
      </c>
      <c r="AB27" s="83" t="s">
        <v>25</v>
      </c>
      <c r="AC27" s="83"/>
      <c r="AD27" s="83"/>
      <c r="AE27" s="83"/>
      <c r="AF27" s="83"/>
      <c r="AG27" s="83">
        <v>26</v>
      </c>
      <c r="AH27" s="14" t="s">
        <v>29</v>
      </c>
      <c r="AM27" s="14">
        <v>26</v>
      </c>
      <c r="AN27" s="14" t="s">
        <v>127</v>
      </c>
      <c r="AP27" s="14">
        <v>26</v>
      </c>
      <c r="AQ27" s="14" t="s">
        <v>51</v>
      </c>
      <c r="AS27" s="14">
        <v>26</v>
      </c>
      <c r="AT27" s="14" t="s">
        <v>51</v>
      </c>
      <c r="AV27" s="14">
        <v>26</v>
      </c>
      <c r="AW27" s="14" t="s">
        <v>51</v>
      </c>
    </row>
    <row r="28" spans="1:49">
      <c r="C28" s="14">
        <v>27</v>
      </c>
      <c r="D28" s="14" t="s">
        <v>27</v>
      </c>
      <c r="F28" s="14">
        <v>27</v>
      </c>
      <c r="G28" s="14" t="s">
        <v>52</v>
      </c>
      <c r="I28" s="14">
        <v>27</v>
      </c>
      <c r="J28" s="14" t="s">
        <v>30</v>
      </c>
      <c r="L28" s="14">
        <v>27</v>
      </c>
      <c r="M28" s="14" t="s">
        <v>30</v>
      </c>
      <c r="O28" s="14">
        <v>27</v>
      </c>
      <c r="P28" s="14" t="s">
        <v>31</v>
      </c>
      <c r="R28" s="14">
        <v>27</v>
      </c>
      <c r="S28" s="14" t="s">
        <v>52</v>
      </c>
      <c r="AA28" s="83">
        <v>27</v>
      </c>
      <c r="AB28" s="83" t="s">
        <v>24</v>
      </c>
      <c r="AC28" s="83"/>
      <c r="AD28" s="83"/>
      <c r="AE28" s="83"/>
      <c r="AF28" s="83"/>
      <c r="AG28" s="83">
        <v>27</v>
      </c>
      <c r="AH28" s="14" t="s">
        <v>32</v>
      </c>
      <c r="AM28" s="14">
        <v>27</v>
      </c>
      <c r="AN28" s="14" t="s">
        <v>32</v>
      </c>
      <c r="AP28" s="14">
        <v>27</v>
      </c>
      <c r="AQ28" s="14" t="s">
        <v>52</v>
      </c>
      <c r="AS28" s="14">
        <v>27</v>
      </c>
      <c r="AT28" s="14" t="s">
        <v>52</v>
      </c>
      <c r="AV28" s="14">
        <v>27</v>
      </c>
      <c r="AW28" s="14" t="s">
        <v>52</v>
      </c>
    </row>
    <row r="29" spans="1:49">
      <c r="C29" s="14">
        <v>28</v>
      </c>
      <c r="D29" s="14" t="s">
        <v>28</v>
      </c>
      <c r="F29" s="14">
        <v>28</v>
      </c>
      <c r="G29" s="14" t="s">
        <v>53</v>
      </c>
      <c r="I29" s="14">
        <v>28</v>
      </c>
      <c r="J29" s="14" t="s">
        <v>31</v>
      </c>
      <c r="L29" s="14">
        <v>28</v>
      </c>
      <c r="M29" s="14" t="s">
        <v>31</v>
      </c>
      <c r="R29" s="14">
        <v>28</v>
      </c>
      <c r="S29" s="14" t="s">
        <v>53</v>
      </c>
      <c r="AA29" s="83">
        <v>28</v>
      </c>
      <c r="AB29" s="83" t="s">
        <v>27</v>
      </c>
      <c r="AC29" s="83"/>
      <c r="AD29" s="83"/>
      <c r="AE29" s="83"/>
      <c r="AF29" s="83"/>
      <c r="AG29" s="83"/>
      <c r="AP29" s="14">
        <v>28</v>
      </c>
      <c r="AQ29" s="14" t="s">
        <v>53</v>
      </c>
      <c r="AS29" s="14">
        <v>28</v>
      </c>
      <c r="AT29" s="14" t="s">
        <v>53</v>
      </c>
      <c r="AV29" s="14">
        <v>28</v>
      </c>
      <c r="AW29" s="14" t="s">
        <v>53</v>
      </c>
    </row>
    <row r="30" spans="1:49">
      <c r="C30" s="14">
        <v>29</v>
      </c>
      <c r="D30" s="14" t="s">
        <v>29</v>
      </c>
      <c r="F30" s="14">
        <v>29</v>
      </c>
      <c r="G30" s="14" t="s">
        <v>115</v>
      </c>
      <c r="R30" s="14">
        <v>29</v>
      </c>
      <c r="S30" s="14" t="s">
        <v>20</v>
      </c>
      <c r="AA30" s="83">
        <v>29</v>
      </c>
      <c r="AB30" s="83" t="s">
        <v>28</v>
      </c>
      <c r="AC30" s="83"/>
      <c r="AD30" s="83"/>
      <c r="AE30" s="83"/>
      <c r="AF30" s="83"/>
      <c r="AG30" s="83"/>
      <c r="AP30" s="14">
        <v>29</v>
      </c>
      <c r="AQ30" s="14" t="s">
        <v>115</v>
      </c>
    </row>
    <row r="31" spans="1:49">
      <c r="F31" s="14">
        <v>30</v>
      </c>
      <c r="G31" s="14" t="s">
        <v>116</v>
      </c>
      <c r="R31" s="14">
        <v>30</v>
      </c>
      <c r="S31" s="14" t="s">
        <v>21</v>
      </c>
      <c r="AA31" s="83">
        <v>30</v>
      </c>
      <c r="AB31" s="83" t="s">
        <v>29</v>
      </c>
      <c r="AC31" s="83"/>
      <c r="AD31" s="83"/>
      <c r="AE31" s="83"/>
      <c r="AF31" s="83"/>
      <c r="AG31" s="83"/>
      <c r="AP31" s="14">
        <v>30</v>
      </c>
      <c r="AQ31" s="14" t="s">
        <v>116</v>
      </c>
    </row>
    <row r="32" spans="1:49">
      <c r="F32" s="14">
        <v>31</v>
      </c>
      <c r="G32" s="14" t="s">
        <v>117</v>
      </c>
      <c r="R32" s="14">
        <v>31</v>
      </c>
      <c r="S32" s="14" t="s">
        <v>22</v>
      </c>
      <c r="AA32" s="83">
        <v>31</v>
      </c>
      <c r="AB32" s="83" t="s">
        <v>32</v>
      </c>
      <c r="AC32" s="83"/>
      <c r="AD32" s="83"/>
      <c r="AE32" s="83"/>
      <c r="AF32" s="83"/>
      <c r="AG32" s="83"/>
      <c r="AP32" s="14">
        <v>31</v>
      </c>
      <c r="AQ32" s="14" t="s">
        <v>117</v>
      </c>
    </row>
    <row r="33" spans="6:43">
      <c r="F33" s="14">
        <v>32</v>
      </c>
      <c r="G33" s="14" t="s">
        <v>118</v>
      </c>
      <c r="R33" s="14">
        <v>32</v>
      </c>
      <c r="S33" s="14" t="s">
        <v>23</v>
      </c>
      <c r="AP33" s="14">
        <v>32</v>
      </c>
      <c r="AQ33" s="14" t="s">
        <v>118</v>
      </c>
    </row>
    <row r="34" spans="6:43">
      <c r="F34" s="14">
        <v>33</v>
      </c>
      <c r="G34" s="14" t="s">
        <v>20</v>
      </c>
      <c r="R34" s="14">
        <v>33</v>
      </c>
      <c r="S34" s="14" t="s">
        <v>26</v>
      </c>
      <c r="AP34" s="14">
        <v>33</v>
      </c>
      <c r="AQ34" s="14" t="s">
        <v>120</v>
      </c>
    </row>
    <row r="35" spans="6:43">
      <c r="F35" s="14">
        <v>34</v>
      </c>
      <c r="G35" s="14" t="s">
        <v>21</v>
      </c>
      <c r="R35" s="14">
        <v>34</v>
      </c>
      <c r="S35" s="14" t="s">
        <v>25</v>
      </c>
      <c r="AP35" s="14">
        <v>34</v>
      </c>
      <c r="AQ35" s="14" t="s">
        <v>121</v>
      </c>
    </row>
    <row r="36" spans="6:43">
      <c r="F36" s="14">
        <v>35</v>
      </c>
      <c r="G36" s="14" t="s">
        <v>22</v>
      </c>
      <c r="R36" s="14">
        <v>35</v>
      </c>
      <c r="S36" s="14" t="s">
        <v>24</v>
      </c>
      <c r="AP36" s="14">
        <v>35</v>
      </c>
      <c r="AQ36" s="14" t="s">
        <v>122</v>
      </c>
    </row>
    <row r="37" spans="6:43">
      <c r="F37" s="14">
        <v>36</v>
      </c>
      <c r="G37" s="14" t="s">
        <v>23</v>
      </c>
      <c r="R37" s="14">
        <v>36</v>
      </c>
      <c r="S37" s="14" t="s">
        <v>27</v>
      </c>
      <c r="AP37" s="14">
        <v>36</v>
      </c>
      <c r="AQ37" s="14" t="s">
        <v>123</v>
      </c>
    </row>
    <row r="38" spans="6:43">
      <c r="F38" s="14">
        <v>37</v>
      </c>
      <c r="G38" s="14" t="s">
        <v>26</v>
      </c>
      <c r="R38" s="14">
        <v>37</v>
      </c>
      <c r="S38" s="14" t="s">
        <v>28</v>
      </c>
      <c r="AP38" s="14">
        <v>37</v>
      </c>
      <c r="AQ38" s="14" t="s">
        <v>28</v>
      </c>
    </row>
    <row r="39" spans="6:43">
      <c r="F39" s="14">
        <v>38</v>
      </c>
      <c r="G39" s="14" t="s">
        <v>25</v>
      </c>
      <c r="R39" s="14">
        <v>38</v>
      </c>
      <c r="S39" s="14" t="s">
        <v>29</v>
      </c>
      <c r="AP39" s="14">
        <v>38</v>
      </c>
      <c r="AQ39" s="14" t="s">
        <v>29</v>
      </c>
    </row>
    <row r="40" spans="6:43">
      <c r="F40" s="14">
        <v>39</v>
      </c>
      <c r="G40" s="14" t="s">
        <v>24</v>
      </c>
      <c r="R40" s="14">
        <v>39</v>
      </c>
      <c r="S40" s="14" t="s">
        <v>30</v>
      </c>
      <c r="AP40" s="14">
        <v>39</v>
      </c>
      <c r="AQ40" s="14" t="s">
        <v>30</v>
      </c>
    </row>
    <row r="41" spans="6:43">
      <c r="F41" s="14">
        <v>40</v>
      </c>
      <c r="G41" s="14" t="s">
        <v>27</v>
      </c>
      <c r="AP41" s="14">
        <v>40</v>
      </c>
      <c r="AQ41" s="14" t="s">
        <v>128</v>
      </c>
    </row>
    <row r="42" spans="6:43">
      <c r="F42" s="14">
        <v>41</v>
      </c>
      <c r="G42" s="14" t="s">
        <v>28</v>
      </c>
      <c r="AP42" s="14">
        <v>41</v>
      </c>
      <c r="AQ42" s="14" t="s">
        <v>127</v>
      </c>
    </row>
    <row r="43" spans="6:43">
      <c r="F43" s="14">
        <v>42</v>
      </c>
      <c r="G43" s="14" t="s">
        <v>29</v>
      </c>
      <c r="AP43" s="14">
        <v>42</v>
      </c>
      <c r="AQ43" s="14" t="s">
        <v>32</v>
      </c>
    </row>
    <row r="44" spans="6:43">
      <c r="F44" s="14">
        <v>43</v>
      </c>
      <c r="G44" s="14" t="s">
        <v>30</v>
      </c>
      <c r="AP44" s="14">
        <v>43</v>
      </c>
      <c r="AQ44" s="14" t="s">
        <v>31</v>
      </c>
    </row>
    <row r="45" spans="6:43">
      <c r="F45" s="14">
        <v>44</v>
      </c>
      <c r="G45" s="14" t="s">
        <v>32</v>
      </c>
      <c r="AP45" s="14">
        <v>44</v>
      </c>
      <c r="AQ45" s="14" t="s">
        <v>156</v>
      </c>
    </row>
    <row r="46" spans="6:43">
      <c r="F46" s="14">
        <v>45</v>
      </c>
      <c r="G46" s="14" t="s">
        <v>31</v>
      </c>
    </row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E0A0-97B0-4035-935A-B3B04032273E}">
  <sheetPr codeName="Arkusz6"/>
  <dimension ref="A1:A43"/>
  <sheetViews>
    <sheetView workbookViewId="0">
      <selection activeCell="B2" sqref="B2"/>
    </sheetView>
  </sheetViews>
  <sheetFormatPr defaultRowHeight="15"/>
  <cols>
    <col min="1" max="1" width="22.7109375" customWidth="1"/>
  </cols>
  <sheetData>
    <row r="1" spans="1:1">
      <c r="A1" s="45" t="s">
        <v>102</v>
      </c>
    </row>
    <row r="2" spans="1:1">
      <c r="A2" s="45" t="s">
        <v>101</v>
      </c>
    </row>
    <row r="3" spans="1:1">
      <c r="A3" s="45" t="s">
        <v>62</v>
      </c>
    </row>
    <row r="4" spans="1:1">
      <c r="A4" s="45" t="s">
        <v>63</v>
      </c>
    </row>
    <row r="5" spans="1:1">
      <c r="A5" s="45" t="s">
        <v>64</v>
      </c>
    </row>
    <row r="6" spans="1:1">
      <c r="A6" s="45" t="s">
        <v>65</v>
      </c>
    </row>
    <row r="7" spans="1:1">
      <c r="A7" s="45" t="s">
        <v>66</v>
      </c>
    </row>
    <row r="8" spans="1:1">
      <c r="A8" s="45" t="s">
        <v>100</v>
      </c>
    </row>
    <row r="9" spans="1:1">
      <c r="A9" s="45" t="s">
        <v>67</v>
      </c>
    </row>
    <row r="10" spans="1:1">
      <c r="A10" s="45" t="s">
        <v>68</v>
      </c>
    </row>
    <row r="11" spans="1:1">
      <c r="A11" s="45" t="s">
        <v>69</v>
      </c>
    </row>
    <row r="12" spans="1:1">
      <c r="A12" s="45" t="s">
        <v>157</v>
      </c>
    </row>
    <row r="13" spans="1:1">
      <c r="A13" s="45" t="s">
        <v>70</v>
      </c>
    </row>
    <row r="14" spans="1:1">
      <c r="A14" s="45" t="s">
        <v>71</v>
      </c>
    </row>
    <row r="15" spans="1:1">
      <c r="A15" s="45" t="s">
        <v>72</v>
      </c>
    </row>
    <row r="16" spans="1:1">
      <c r="A16" s="45" t="s">
        <v>73</v>
      </c>
    </row>
    <row r="17" spans="1:1">
      <c r="A17" s="45" t="s">
        <v>74</v>
      </c>
    </row>
    <row r="18" spans="1:1">
      <c r="A18" s="45" t="s">
        <v>75</v>
      </c>
    </row>
    <row r="19" spans="1:1">
      <c r="A19" s="45" t="s">
        <v>76</v>
      </c>
    </row>
    <row r="20" spans="1:1">
      <c r="A20" s="45" t="s">
        <v>77</v>
      </c>
    </row>
    <row r="21" spans="1:1">
      <c r="A21" s="45" t="s">
        <v>78</v>
      </c>
    </row>
    <row r="22" spans="1:1">
      <c r="A22" s="45" t="s">
        <v>79</v>
      </c>
    </row>
    <row r="23" spans="1:1">
      <c r="A23" s="45" t="s">
        <v>80</v>
      </c>
    </row>
    <row r="24" spans="1:1">
      <c r="A24" s="45" t="s">
        <v>81</v>
      </c>
    </row>
    <row r="25" spans="1:1">
      <c r="A25" s="45" t="s">
        <v>82</v>
      </c>
    </row>
    <row r="26" spans="1:1">
      <c r="A26" s="45" t="s">
        <v>83</v>
      </c>
    </row>
    <row r="27" spans="1:1">
      <c r="A27" s="45" t="s">
        <v>84</v>
      </c>
    </row>
    <row r="28" spans="1:1">
      <c r="A28" s="45" t="s">
        <v>85</v>
      </c>
    </row>
    <row r="29" spans="1:1">
      <c r="A29" s="45" t="s">
        <v>86</v>
      </c>
    </row>
    <row r="30" spans="1:1">
      <c r="A30" s="45" t="s">
        <v>87</v>
      </c>
    </row>
    <row r="31" spans="1:1">
      <c r="A31" s="45" t="s">
        <v>88</v>
      </c>
    </row>
    <row r="32" spans="1:1">
      <c r="A32" s="45" t="s">
        <v>89</v>
      </c>
    </row>
    <row r="33" spans="1:1">
      <c r="A33" s="45" t="s">
        <v>90</v>
      </c>
    </row>
    <row r="34" spans="1:1">
      <c r="A34" s="45" t="s">
        <v>91</v>
      </c>
    </row>
    <row r="35" spans="1:1">
      <c r="A35" s="45" t="s">
        <v>92</v>
      </c>
    </row>
    <row r="36" spans="1:1">
      <c r="A36" s="45" t="s">
        <v>93</v>
      </c>
    </row>
    <row r="37" spans="1:1">
      <c r="A37" s="45" t="s">
        <v>94</v>
      </c>
    </row>
    <row r="38" spans="1:1">
      <c r="A38" s="45" t="s">
        <v>95</v>
      </c>
    </row>
    <row r="39" spans="1:1">
      <c r="A39" s="45" t="s">
        <v>96</v>
      </c>
    </row>
    <row r="40" spans="1:1">
      <c r="A40" s="45" t="s">
        <v>97</v>
      </c>
    </row>
    <row r="41" spans="1:1">
      <c r="A41" s="45" t="s">
        <v>98</v>
      </c>
    </row>
    <row r="42" spans="1:1">
      <c r="A42" s="45" t="s">
        <v>99</v>
      </c>
    </row>
    <row r="43" spans="1:1">
      <c r="A43" s="4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2" tint="-9.9978637043366805E-2"/>
  </sheetPr>
  <dimension ref="A1:N101"/>
  <sheetViews>
    <sheetView workbookViewId="0">
      <selection activeCell="E29" sqref="E29"/>
    </sheetView>
  </sheetViews>
  <sheetFormatPr defaultRowHeight="15"/>
  <cols>
    <col min="1" max="1" width="21.28515625" style="14" bestFit="1" customWidth="1"/>
    <col min="2" max="2" width="12.7109375" style="14" bestFit="1" customWidth="1"/>
    <col min="3" max="3" width="21.7109375" style="14" customWidth="1"/>
    <col min="4" max="4" width="9.140625" style="14"/>
    <col min="5" max="5" width="21.28515625" style="14" bestFit="1" customWidth="1"/>
    <col min="6" max="6" width="12.7109375" style="14" bestFit="1" customWidth="1"/>
    <col min="7" max="7" width="21.7109375" style="14" customWidth="1"/>
    <col min="8" max="9" width="9.140625" style="14"/>
    <col min="10" max="10" width="11.28515625" style="14" customWidth="1"/>
    <col min="11" max="12" width="9.140625" style="14"/>
    <col min="13" max="13" width="11.28515625" style="14" customWidth="1"/>
    <col min="14" max="16384" width="9.140625" style="14"/>
  </cols>
  <sheetData>
    <row r="1" spans="1:14">
      <c r="A1" s="14" t="s">
        <v>35</v>
      </c>
      <c r="B1" s="16" t="s">
        <v>34</v>
      </c>
      <c r="C1" s="12" t="s">
        <v>19</v>
      </c>
      <c r="E1" s="14" t="s">
        <v>35</v>
      </c>
      <c r="F1" s="16" t="s">
        <v>33</v>
      </c>
      <c r="G1" s="12" t="s">
        <v>19</v>
      </c>
      <c r="N1" s="15"/>
    </row>
    <row r="2" spans="1:14">
      <c r="A2" s="40"/>
      <c r="B2" s="9"/>
      <c r="E2" s="40"/>
      <c r="F2" s="9"/>
      <c r="N2" s="15"/>
    </row>
    <row r="3" spans="1:14">
      <c r="B3" s="10"/>
      <c r="F3" s="10"/>
    </row>
    <row r="4" spans="1:14">
      <c r="B4" s="9"/>
      <c r="F4" s="9"/>
    </row>
    <row r="5" spans="1:14">
      <c r="B5" s="10"/>
      <c r="F5" s="10"/>
    </row>
    <row r="6" spans="1:14">
      <c r="B6" s="9"/>
      <c r="F6" s="9"/>
    </row>
    <row r="7" spans="1:14">
      <c r="B7" s="10"/>
      <c r="F7" s="10"/>
    </row>
    <row r="8" spans="1:14">
      <c r="B8" s="9"/>
      <c r="F8" s="9"/>
    </row>
    <row r="9" spans="1:14">
      <c r="B9" s="10"/>
      <c r="F9" s="10"/>
    </row>
    <row r="10" spans="1:14">
      <c r="B10" s="9"/>
      <c r="F10" s="9"/>
    </row>
    <row r="11" spans="1:14">
      <c r="B11" s="10"/>
      <c r="F11" s="10"/>
    </row>
    <row r="12" spans="1:14">
      <c r="B12" s="9"/>
      <c r="F12" s="9"/>
    </row>
    <row r="13" spans="1:14">
      <c r="B13" s="10"/>
      <c r="F13" s="10"/>
    </row>
    <row r="14" spans="1:14">
      <c r="B14" s="9"/>
      <c r="F14" s="9"/>
    </row>
    <row r="15" spans="1:14">
      <c r="B15" s="36"/>
      <c r="C15" s="37"/>
      <c r="E15" s="37"/>
      <c r="F15" s="36"/>
      <c r="G15" s="37"/>
    </row>
    <row r="16" spans="1:14">
      <c r="B16" s="38"/>
      <c r="C16" s="37"/>
      <c r="E16" s="37"/>
      <c r="F16" s="38"/>
      <c r="G16" s="37"/>
    </row>
    <row r="17" spans="2:7">
      <c r="B17" s="36"/>
      <c r="C17" s="37"/>
      <c r="E17" s="37"/>
      <c r="F17" s="36"/>
      <c r="G17" s="37"/>
    </row>
    <row r="18" spans="2:7">
      <c r="B18" s="38"/>
      <c r="C18" s="37"/>
      <c r="E18" s="37"/>
      <c r="F18" s="38"/>
      <c r="G18" s="37"/>
    </row>
    <row r="19" spans="2:7">
      <c r="B19" s="36"/>
      <c r="C19" s="37"/>
      <c r="E19" s="37"/>
      <c r="F19" s="36"/>
      <c r="G19" s="37"/>
    </row>
    <row r="20" spans="2:7">
      <c r="B20" s="38"/>
      <c r="C20" s="37"/>
      <c r="E20" s="37"/>
      <c r="F20" s="38"/>
      <c r="G20" s="37"/>
    </row>
    <row r="21" spans="2:7">
      <c r="B21" s="39"/>
      <c r="C21" s="37"/>
      <c r="E21" s="37"/>
      <c r="F21" s="36"/>
      <c r="G21" s="37"/>
    </row>
    <row r="22" spans="2:7">
      <c r="B22" s="38"/>
      <c r="C22" s="37"/>
      <c r="E22" s="37"/>
      <c r="F22" s="38"/>
      <c r="G22" s="37"/>
    </row>
    <row r="23" spans="2:7">
      <c r="B23" s="39"/>
      <c r="C23" s="37"/>
      <c r="E23" s="37"/>
      <c r="F23" s="36"/>
      <c r="G23" s="37"/>
    </row>
    <row r="24" spans="2:7">
      <c r="B24" s="38"/>
      <c r="C24" s="37"/>
      <c r="E24" s="37"/>
      <c r="F24" s="38"/>
      <c r="G24" s="37"/>
    </row>
    <row r="25" spans="2:7">
      <c r="B25" s="39"/>
      <c r="C25" s="37"/>
      <c r="E25" s="37"/>
      <c r="F25" s="36"/>
      <c r="G25" s="37"/>
    </row>
    <row r="26" spans="2:7">
      <c r="B26" s="38"/>
      <c r="C26" s="37"/>
      <c r="E26" s="37"/>
      <c r="F26" s="38"/>
      <c r="G26" s="37"/>
    </row>
    <row r="27" spans="2:7">
      <c r="B27" s="39"/>
      <c r="C27" s="37"/>
      <c r="E27" s="37"/>
      <c r="F27" s="36"/>
      <c r="G27" s="37"/>
    </row>
    <row r="28" spans="2:7">
      <c r="B28" s="38"/>
      <c r="C28" s="37"/>
      <c r="E28" s="37"/>
      <c r="F28" s="38"/>
      <c r="G28" s="37"/>
    </row>
    <row r="29" spans="2:7">
      <c r="B29" s="39"/>
      <c r="C29" s="37"/>
      <c r="E29" s="37"/>
      <c r="F29" s="36"/>
      <c r="G29" s="37"/>
    </row>
    <row r="30" spans="2:7">
      <c r="B30" s="38"/>
      <c r="C30" s="37"/>
      <c r="E30" s="37"/>
      <c r="F30" s="38"/>
      <c r="G30" s="37"/>
    </row>
    <row r="31" spans="2:7">
      <c r="B31" s="39"/>
      <c r="C31" s="37"/>
      <c r="E31" s="37"/>
      <c r="F31" s="36"/>
      <c r="G31" s="37"/>
    </row>
    <row r="32" spans="2:7">
      <c r="B32" s="38"/>
      <c r="C32" s="37"/>
      <c r="E32" s="37"/>
      <c r="F32" s="38"/>
      <c r="G32" s="37"/>
    </row>
    <row r="33" spans="2:7">
      <c r="B33" s="39"/>
      <c r="C33" s="37"/>
      <c r="E33" s="37"/>
      <c r="F33" s="36"/>
      <c r="G33" s="37"/>
    </row>
    <row r="34" spans="2:7">
      <c r="B34" s="9"/>
      <c r="F34" s="9"/>
    </row>
    <row r="35" spans="2:7">
      <c r="B35" s="11"/>
      <c r="F35" s="10"/>
    </row>
    <row r="36" spans="2:7">
      <c r="B36" s="9"/>
      <c r="F36" s="9"/>
    </row>
    <row r="37" spans="2:7">
      <c r="B37" s="11"/>
      <c r="F37" s="10"/>
    </row>
    <row r="38" spans="2:7">
      <c r="B38" s="9"/>
      <c r="F38" s="9"/>
    </row>
    <row r="39" spans="2:7">
      <c r="B39" s="11"/>
      <c r="F39" s="10"/>
    </row>
    <row r="40" spans="2:7">
      <c r="B40" s="9"/>
      <c r="F40" s="9"/>
    </row>
    <row r="41" spans="2:7">
      <c r="B41" s="11"/>
      <c r="F41" s="10"/>
    </row>
    <row r="42" spans="2:7">
      <c r="B42" s="9"/>
      <c r="F42" s="9"/>
    </row>
    <row r="43" spans="2:7">
      <c r="B43" s="11"/>
      <c r="F43" s="10"/>
    </row>
    <row r="44" spans="2:7">
      <c r="B44" s="9"/>
      <c r="F44" s="9"/>
    </row>
    <row r="45" spans="2:7">
      <c r="B45" s="11"/>
      <c r="F45" s="10"/>
    </row>
    <row r="46" spans="2:7">
      <c r="B46" s="9"/>
      <c r="F46" s="9"/>
    </row>
    <row r="47" spans="2:7">
      <c r="B47" s="11"/>
      <c r="F47" s="10"/>
    </row>
    <row r="48" spans="2:7">
      <c r="B48" s="9"/>
      <c r="F48" s="9"/>
    </row>
    <row r="49" spans="2:6">
      <c r="B49" s="11"/>
      <c r="F49" s="10"/>
    </row>
    <row r="50" spans="2:6">
      <c r="B50" s="9"/>
      <c r="F50" s="9"/>
    </row>
    <row r="51" spans="2:6">
      <c r="B51" s="11"/>
      <c r="F51" s="10"/>
    </row>
    <row r="52" spans="2:6">
      <c r="B52" s="9"/>
      <c r="F52" s="9"/>
    </row>
    <row r="53" spans="2:6">
      <c r="B53" s="11"/>
      <c r="F53" s="10"/>
    </row>
    <row r="54" spans="2:6">
      <c r="B54" s="9"/>
      <c r="F54" s="9"/>
    </row>
    <row r="55" spans="2:6">
      <c r="B55" s="11"/>
      <c r="F55" s="10"/>
    </row>
    <row r="56" spans="2:6">
      <c r="B56" s="9"/>
      <c r="F56" s="9"/>
    </row>
    <row r="57" spans="2:6">
      <c r="B57" s="11"/>
      <c r="F57" s="10"/>
    </row>
    <row r="58" spans="2:6">
      <c r="B58" s="9"/>
      <c r="F58" s="9"/>
    </row>
    <row r="59" spans="2:6">
      <c r="B59" s="11"/>
      <c r="F59" s="10"/>
    </row>
    <row r="60" spans="2:6">
      <c r="B60" s="9"/>
      <c r="F60" s="9"/>
    </row>
    <row r="61" spans="2:6">
      <c r="B61" s="11"/>
      <c r="F61" s="10"/>
    </row>
    <row r="62" spans="2:6">
      <c r="B62" s="9"/>
      <c r="F62" s="9"/>
    </row>
    <row r="63" spans="2:6">
      <c r="B63" s="11"/>
      <c r="F63" s="10"/>
    </row>
    <row r="64" spans="2:6">
      <c r="B64" s="9"/>
      <c r="F64" s="9"/>
    </row>
    <row r="65" spans="2:6">
      <c r="B65" s="11"/>
      <c r="F65" s="10"/>
    </row>
    <row r="66" spans="2:6">
      <c r="B66" s="9"/>
      <c r="F66" s="9"/>
    </row>
    <row r="67" spans="2:6">
      <c r="B67" s="11"/>
      <c r="F67" s="10"/>
    </row>
    <row r="68" spans="2:6">
      <c r="B68" s="9"/>
      <c r="F68" s="9"/>
    </row>
    <row r="69" spans="2:6">
      <c r="B69" s="11"/>
      <c r="F69" s="10"/>
    </row>
    <row r="70" spans="2:6">
      <c r="B70" s="9"/>
      <c r="F70" s="9"/>
    </row>
    <row r="71" spans="2:6">
      <c r="B71" s="11"/>
      <c r="F71" s="10"/>
    </row>
    <row r="72" spans="2:6">
      <c r="B72" s="9"/>
      <c r="F72" s="9"/>
    </row>
    <row r="73" spans="2:6">
      <c r="B73" s="11"/>
      <c r="F73" s="10"/>
    </row>
    <row r="74" spans="2:6">
      <c r="B74" s="9"/>
      <c r="F74" s="9"/>
    </row>
    <row r="75" spans="2:6">
      <c r="B75" s="11"/>
      <c r="F75" s="10"/>
    </row>
    <row r="76" spans="2:6">
      <c r="B76" s="9"/>
      <c r="F76" s="9"/>
    </row>
    <row r="77" spans="2:6">
      <c r="B77" s="11"/>
      <c r="F77" s="10"/>
    </row>
    <row r="78" spans="2:6">
      <c r="B78" s="9"/>
      <c r="F78" s="9"/>
    </row>
    <row r="79" spans="2:6">
      <c r="B79" s="11"/>
      <c r="F79" s="10"/>
    </row>
    <row r="80" spans="2:6">
      <c r="B80" s="9"/>
      <c r="F80" s="9"/>
    </row>
    <row r="81" spans="2:6">
      <c r="B81" s="11"/>
      <c r="F81" s="10"/>
    </row>
    <row r="82" spans="2:6">
      <c r="B82" s="9"/>
      <c r="F82" s="9"/>
    </row>
    <row r="83" spans="2:6">
      <c r="B83" s="11"/>
      <c r="F83" s="10"/>
    </row>
    <row r="84" spans="2:6">
      <c r="B84" s="9"/>
      <c r="F84" s="9"/>
    </row>
    <row r="85" spans="2:6">
      <c r="B85" s="11"/>
      <c r="F85" s="10"/>
    </row>
    <row r="86" spans="2:6">
      <c r="B86" s="9"/>
      <c r="F86" s="9"/>
    </row>
    <row r="87" spans="2:6">
      <c r="B87" s="11"/>
      <c r="F87" s="10"/>
    </row>
    <row r="88" spans="2:6">
      <c r="B88" s="9"/>
      <c r="F88" s="9"/>
    </row>
    <row r="89" spans="2:6">
      <c r="B89" s="11"/>
      <c r="F89" s="10"/>
    </row>
    <row r="90" spans="2:6">
      <c r="B90" s="9"/>
      <c r="F90" s="9"/>
    </row>
    <row r="91" spans="2:6">
      <c r="B91" s="11"/>
      <c r="F91" s="10"/>
    </row>
    <row r="92" spans="2:6">
      <c r="B92" s="9"/>
      <c r="F92" s="9"/>
    </row>
    <row r="93" spans="2:6">
      <c r="B93" s="11"/>
      <c r="F93" s="10"/>
    </row>
    <row r="94" spans="2:6">
      <c r="B94" s="9"/>
      <c r="F94" s="9"/>
    </row>
    <row r="95" spans="2:6">
      <c r="B95" s="11"/>
      <c r="F95" s="10"/>
    </row>
    <row r="96" spans="2:6">
      <c r="B96" s="9"/>
      <c r="F96" s="9"/>
    </row>
    <row r="97" spans="2:6">
      <c r="B97" s="11"/>
      <c r="F97" s="10"/>
    </row>
    <row r="98" spans="2:6">
      <c r="B98" s="9"/>
      <c r="F98" s="9"/>
    </row>
    <row r="99" spans="2:6">
      <c r="B99" s="11"/>
      <c r="F99" s="10"/>
    </row>
    <row r="100" spans="2:6">
      <c r="B100" s="9"/>
      <c r="F100" s="9"/>
    </row>
    <row r="101" spans="2:6">
      <c r="B101" s="11"/>
      <c r="F101" s="10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FF00"/>
  </sheetPr>
  <dimension ref="A1:C2000"/>
  <sheetViews>
    <sheetView showGridLines="0" workbookViewId="0">
      <selection activeCell="H14" sqref="H14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3">
      <c r="A17" s="6"/>
      <c r="B17" s="4"/>
      <c r="C17" s="1"/>
    </row>
    <row r="18" spans="1:3">
      <c r="A18" s="5"/>
      <c r="B18" s="3"/>
      <c r="C18" s="2"/>
    </row>
    <row r="19" spans="1:3">
      <c r="A19" s="6"/>
      <c r="B19" s="4"/>
      <c r="C19" s="1"/>
    </row>
    <row r="20" spans="1:3">
      <c r="A20" s="5"/>
      <c r="B20" s="3"/>
      <c r="C20" s="2"/>
    </row>
    <row r="21" spans="1:3">
      <c r="A21" s="6"/>
      <c r="B21" s="4"/>
      <c r="C21" s="1"/>
    </row>
    <row r="22" spans="1:3">
      <c r="A22" s="5"/>
      <c r="B22" s="3"/>
      <c r="C22" s="2"/>
    </row>
    <row r="23" spans="1:3">
      <c r="A23" s="6"/>
      <c r="B23" s="4"/>
      <c r="C23" s="1"/>
    </row>
    <row r="24" spans="1:3">
      <c r="A24" s="5"/>
      <c r="B24" s="3"/>
      <c r="C24" s="2"/>
    </row>
    <row r="25" spans="1:3">
      <c r="A25" s="6"/>
      <c r="B25" s="4"/>
      <c r="C25" s="1"/>
    </row>
    <row r="26" spans="1:3">
      <c r="A26" s="5"/>
      <c r="B26" s="3"/>
      <c r="C26" s="2"/>
    </row>
    <row r="27" spans="1:3">
      <c r="A27" s="6"/>
      <c r="B27" s="4"/>
      <c r="C27" s="1"/>
    </row>
    <row r="28" spans="1:3">
      <c r="A28" s="5"/>
      <c r="B28" s="3"/>
      <c r="C28" s="2"/>
    </row>
    <row r="29" spans="1:3">
      <c r="A29" s="6"/>
      <c r="B29" s="4"/>
      <c r="C29" s="1"/>
    </row>
    <row r="30" spans="1:3">
      <c r="A30" s="5"/>
      <c r="B30" s="3"/>
      <c r="C30" s="2"/>
    </row>
    <row r="31" spans="1:3">
      <c r="A31" s="6"/>
      <c r="B31" s="4"/>
      <c r="C31" s="1"/>
    </row>
    <row r="32" spans="1:3">
      <c r="A32" s="5"/>
      <c r="B32" s="3"/>
      <c r="C32" s="2"/>
    </row>
    <row r="33" spans="1:3">
      <c r="A33" s="6"/>
      <c r="B33" s="4"/>
      <c r="C33" s="1"/>
    </row>
    <row r="34" spans="1:3">
      <c r="A34" s="5"/>
      <c r="B34" s="3"/>
      <c r="C34" s="2"/>
    </row>
    <row r="35" spans="1:3">
      <c r="A35" s="6"/>
      <c r="B35" s="4"/>
      <c r="C35" s="1"/>
    </row>
    <row r="36" spans="1:3">
      <c r="A36" s="5"/>
      <c r="B36" s="3"/>
      <c r="C36" s="2"/>
    </row>
    <row r="37" spans="1:3">
      <c r="A37" s="6"/>
      <c r="B37" s="4"/>
      <c r="C37" s="1"/>
    </row>
    <row r="38" spans="1:3">
      <c r="A38" s="5"/>
      <c r="B38" s="3"/>
      <c r="C38" s="2"/>
    </row>
    <row r="39" spans="1:3">
      <c r="A39" s="6"/>
      <c r="B39" s="4"/>
      <c r="C39" s="1"/>
    </row>
    <row r="40" spans="1:3">
      <c r="A40" s="5"/>
      <c r="B40" s="3"/>
      <c r="C40" s="2"/>
    </row>
    <row r="41" spans="1:3">
      <c r="A41" s="6"/>
      <c r="B41" s="4"/>
      <c r="C41" s="1"/>
    </row>
    <row r="42" spans="1:3">
      <c r="A42" s="5"/>
      <c r="B42" s="3"/>
      <c r="C42" s="2"/>
    </row>
    <row r="43" spans="1:3">
      <c r="A43" s="6"/>
      <c r="B43" s="4"/>
      <c r="C43" s="1"/>
    </row>
    <row r="44" spans="1:3">
      <c r="A44" s="5"/>
      <c r="B44" s="3"/>
      <c r="C44" s="2"/>
    </row>
    <row r="45" spans="1:3">
      <c r="A45" s="6"/>
      <c r="B45" s="4"/>
      <c r="C45" s="1"/>
    </row>
    <row r="46" spans="1:3">
      <c r="A46" s="5"/>
      <c r="B46" s="3"/>
      <c r="C46" s="2"/>
    </row>
    <row r="47" spans="1:3">
      <c r="A47" s="6"/>
      <c r="B47" s="4"/>
      <c r="C47" s="1"/>
    </row>
    <row r="48" spans="1:3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86" priority="1"/>
    <cfRule type="containsText" dxfId="85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FFFF00"/>
  </sheetPr>
  <dimension ref="A1:W2000"/>
  <sheetViews>
    <sheetView showGridLines="0" workbookViewId="0">
      <selection activeCell="K30" sqref="K30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23">
      <c r="A17" s="6"/>
      <c r="B17" s="4"/>
      <c r="C17" s="1"/>
    </row>
    <row r="18" spans="1:23">
      <c r="A18" s="5"/>
      <c r="B18" s="3"/>
      <c r="C18" s="2"/>
    </row>
    <row r="19" spans="1:23">
      <c r="A19" s="6"/>
      <c r="B19" s="4"/>
      <c r="C19" s="1"/>
    </row>
    <row r="20" spans="1:23">
      <c r="A20" s="5"/>
      <c r="B20" s="3"/>
      <c r="C20" s="2"/>
    </row>
    <row r="21" spans="1:23">
      <c r="A21" s="6"/>
      <c r="B21" s="4"/>
      <c r="C21" s="1"/>
    </row>
    <row r="22" spans="1:23">
      <c r="A22" s="5"/>
      <c r="B22" s="3"/>
      <c r="C22" s="2"/>
    </row>
    <row r="23" spans="1:23">
      <c r="A23" s="6"/>
      <c r="B23" s="4"/>
      <c r="C23" s="1"/>
    </row>
    <row r="24" spans="1:23">
      <c r="A24" s="5"/>
      <c r="B24" s="3"/>
      <c r="C24" s="2"/>
    </row>
    <row r="25" spans="1:23">
      <c r="A25" s="6"/>
      <c r="B25" s="4"/>
      <c r="C25" s="1"/>
    </row>
    <row r="26" spans="1:23">
      <c r="A26" s="5"/>
      <c r="B26" s="3"/>
      <c r="C26" s="2"/>
    </row>
    <row r="27" spans="1:23">
      <c r="A27" s="6"/>
      <c r="B27" s="4"/>
      <c r="C27" s="1"/>
    </row>
    <row r="28" spans="1:23">
      <c r="A28" s="5"/>
      <c r="B28" s="3"/>
      <c r="C28" s="2"/>
    </row>
    <row r="29" spans="1:23">
      <c r="A29" s="6"/>
      <c r="B29" s="4"/>
      <c r="C29" s="1"/>
    </row>
    <row r="30" spans="1:23">
      <c r="A30" s="5"/>
      <c r="B30" s="3"/>
      <c r="C30" s="2"/>
    </row>
    <row r="31" spans="1:23">
      <c r="A31" s="6"/>
      <c r="B31" s="4"/>
      <c r="C31" s="1"/>
      <c r="W31" s="13"/>
    </row>
    <row r="32" spans="1:23">
      <c r="A32" s="5"/>
      <c r="B32" s="3"/>
      <c r="C32" s="2"/>
    </row>
    <row r="33" spans="1:22">
      <c r="A33" s="6"/>
      <c r="B33" s="4"/>
      <c r="C33" s="1"/>
    </row>
    <row r="34" spans="1:22">
      <c r="A34" s="5"/>
      <c r="B34" s="3"/>
      <c r="C34" s="2"/>
      <c r="V34" s="13"/>
    </row>
    <row r="35" spans="1:22">
      <c r="A35" s="6"/>
      <c r="B35" s="4"/>
      <c r="C35" s="1"/>
    </row>
    <row r="36" spans="1:22">
      <c r="A36" s="5"/>
      <c r="B36" s="3"/>
      <c r="C36" s="2"/>
    </row>
    <row r="37" spans="1:22">
      <c r="A37" s="6"/>
      <c r="B37" s="4"/>
      <c r="C37" s="1"/>
    </row>
    <row r="38" spans="1:22">
      <c r="A38" s="5"/>
      <c r="B38" s="3"/>
      <c r="C38" s="2"/>
    </row>
    <row r="39" spans="1:22">
      <c r="A39" s="6"/>
      <c r="B39" s="4"/>
      <c r="C39" s="1"/>
    </row>
    <row r="40" spans="1:22">
      <c r="A40" s="5"/>
      <c r="B40" s="3"/>
      <c r="C40" s="2"/>
    </row>
    <row r="41" spans="1:22">
      <c r="A41" s="6"/>
      <c r="B41" s="4"/>
      <c r="C41" s="1"/>
    </row>
    <row r="42" spans="1:22">
      <c r="A42" s="5"/>
      <c r="B42" s="3"/>
      <c r="C42" s="2"/>
    </row>
    <row r="43" spans="1:22">
      <c r="A43" s="6"/>
      <c r="B43" s="4"/>
      <c r="C43" s="1"/>
    </row>
    <row r="44" spans="1:22">
      <c r="A44" s="5"/>
      <c r="B44" s="3"/>
      <c r="C44" s="2"/>
    </row>
    <row r="45" spans="1:22">
      <c r="A45" s="6"/>
      <c r="B45" s="4"/>
      <c r="C45" s="1"/>
    </row>
    <row r="46" spans="1:22">
      <c r="A46" s="5"/>
      <c r="B46" s="3"/>
      <c r="C46" s="2"/>
    </row>
    <row r="47" spans="1:22">
      <c r="A47" s="6"/>
      <c r="B47" s="4"/>
      <c r="C47" s="1"/>
    </row>
    <row r="48" spans="1:22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79" priority="1"/>
    <cfRule type="containsText" dxfId="78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DE47-F249-4095-B2B1-CD30FC85828D}">
  <sheetPr codeName="Arkusz4">
    <tabColor theme="5"/>
  </sheetPr>
  <dimension ref="A1:Z49"/>
  <sheetViews>
    <sheetView zoomScaleNormal="100" workbookViewId="0">
      <selection activeCell="F18" sqref="F18"/>
    </sheetView>
  </sheetViews>
  <sheetFormatPr defaultRowHeight="15"/>
  <cols>
    <col min="1" max="2" width="15.7109375" style="72" customWidth="1"/>
    <col min="3" max="9" width="25.7109375" style="72" customWidth="1"/>
    <col min="10" max="12" width="15.7109375" style="72" customWidth="1"/>
    <col min="13" max="25" width="25.7109375" style="72" customWidth="1"/>
    <col min="26" max="26" width="30.42578125" style="72" bestFit="1" customWidth="1"/>
    <col min="27" max="33" width="9.140625" style="72" customWidth="1"/>
    <col min="34" max="37" width="9.140625" style="72"/>
    <col min="38" max="51" width="9.140625" style="72" customWidth="1"/>
    <col min="52" max="16384" width="9.140625" style="72"/>
  </cols>
  <sheetData>
    <row r="1" spans="1:26">
      <c r="A1" s="72" t="s">
        <v>35</v>
      </c>
      <c r="B1" s="72" t="s">
        <v>36</v>
      </c>
      <c r="C1" s="72" t="s">
        <v>37</v>
      </c>
      <c r="E1" s="73" t="s">
        <v>139</v>
      </c>
      <c r="F1" s="72" t="s">
        <v>137</v>
      </c>
      <c r="G1" s="14"/>
      <c r="H1" s="73" t="s">
        <v>140</v>
      </c>
      <c r="I1" s="74" t="s">
        <v>141</v>
      </c>
      <c r="K1" s="72" t="s">
        <v>35</v>
      </c>
      <c r="L1" s="72" t="s">
        <v>36</v>
      </c>
      <c r="M1" s="72" t="s">
        <v>37</v>
      </c>
      <c r="O1" s="73" t="s">
        <v>143</v>
      </c>
      <c r="P1" s="72" t="s">
        <v>137</v>
      </c>
      <c r="R1" s="73" t="s">
        <v>140</v>
      </c>
      <c r="S1" s="72" t="s">
        <v>141</v>
      </c>
      <c r="U1" s="72" t="s">
        <v>138</v>
      </c>
      <c r="V1" s="72" t="s">
        <v>142</v>
      </c>
      <c r="W1" s="80" t="s">
        <v>144</v>
      </c>
    </row>
    <row r="2" spans="1:26">
      <c r="A2" s="74"/>
      <c r="E2" s="75" t="str">
        <f t="array" ref="E2">IF(SUMPRODUCT(COUNTIF(Przyciski_Kontroler1_przyciski_WSZYSTKIE[Przycisk],Przyciski_Kontroler1_przyciski_WSZYSTKIE[Przycisk])-1)*(Przyciski_Kontroler1_przyciski_WSZYSTKIE[Przycisk]&lt;&gt;"")&gt;0,"TAK","NIE")</f>
        <v>NIE</v>
      </c>
      <c r="F2" s="76">
        <v>0</v>
      </c>
      <c r="G2" s="14"/>
      <c r="H2" s="77" t="str">
        <f>_xlfn.IFNA(IF(VLOOKUP("*~;*",Bindy_Kontroler1[#All],1,FALSE)&gt;0,"TAK","WTF"),"NIE")</f>
        <v>NIE</v>
      </c>
      <c r="I2" s="79">
        <v>0</v>
      </c>
      <c r="K2" s="74"/>
      <c r="O2" s="75" t="str">
        <f t="array" ref="O2">IF(SUMPRODUCT(COUNTIF(Przyciski_Kontroler2_przyciski_WSZYSTKIE[Przycisk],Przyciski_Kontroler2_przyciski_WSZYSTKIE[Przycisk])-1)*(Przyciski_Kontroler2_przyciski_WSZYSTKIE[Przycisk]&lt;&gt;"")&gt;0,"TAK","NIE")</f>
        <v>NIE</v>
      </c>
      <c r="P2" s="76">
        <v>0</v>
      </c>
      <c r="R2" s="77" t="str">
        <f>_xlfn.IFNA(IF(VLOOKUP("*~;*",Bindy_Kontroler2[#All],1,FALSE)&gt;0,"TAK","WTF"),"NIE")</f>
        <v>NIE</v>
      </c>
      <c r="S2" s="79">
        <v>0</v>
      </c>
      <c r="T2" s="78"/>
      <c r="U2" s="76">
        <v>0</v>
      </c>
      <c r="V2" s="79">
        <v>0</v>
      </c>
      <c r="W2" s="81">
        <v>0</v>
      </c>
    </row>
    <row r="4" spans="1:26">
      <c r="A4" s="74" t="s">
        <v>34</v>
      </c>
      <c r="B4" s="74" t="s">
        <v>19</v>
      </c>
      <c r="C4" s="74" t="s">
        <v>145</v>
      </c>
      <c r="D4" s="74" t="s">
        <v>146</v>
      </c>
      <c r="E4" s="74" t="s">
        <v>147</v>
      </c>
      <c r="F4" s="74" t="s">
        <v>148</v>
      </c>
      <c r="G4" s="74" t="s">
        <v>149</v>
      </c>
      <c r="H4" s="74" t="s">
        <v>150</v>
      </c>
      <c r="I4" s="74"/>
      <c r="K4" s="72" t="s">
        <v>33</v>
      </c>
      <c r="L4" s="72" t="s">
        <v>19</v>
      </c>
      <c r="M4" s="72" t="s">
        <v>145</v>
      </c>
      <c r="N4" s="72" t="s">
        <v>146</v>
      </c>
      <c r="O4" s="72" t="s">
        <v>147</v>
      </c>
      <c r="P4" s="72" t="s">
        <v>148</v>
      </c>
      <c r="Q4" s="72" t="s">
        <v>149</v>
      </c>
      <c r="R4" s="72" t="s">
        <v>150</v>
      </c>
    </row>
    <row r="5" spans="1:26">
      <c r="B5" s="74"/>
      <c r="C5" s="74"/>
      <c r="E5" s="74"/>
      <c r="F5" s="74"/>
      <c r="G5" s="74"/>
      <c r="I5" s="74"/>
      <c r="L5" s="74"/>
      <c r="M5" s="74"/>
      <c r="Z5"/>
    </row>
    <row r="6" spans="1:26">
      <c r="B6" s="74"/>
      <c r="C6" s="74"/>
      <c r="E6" s="74"/>
      <c r="F6" s="74"/>
      <c r="G6" s="74"/>
      <c r="I6" s="74"/>
      <c r="L6" s="74"/>
      <c r="M6" s="74"/>
    </row>
    <row r="7" spans="1:26">
      <c r="B7" s="74"/>
      <c r="C7" s="74"/>
      <c r="E7" s="74"/>
      <c r="F7" s="74"/>
      <c r="G7" s="74"/>
      <c r="I7" s="74"/>
      <c r="L7" s="74"/>
      <c r="M7" s="74"/>
    </row>
    <row r="8" spans="1:26">
      <c r="B8" s="74"/>
      <c r="C8" s="74"/>
      <c r="E8" s="74"/>
      <c r="F8" s="74"/>
      <c r="G8" s="74"/>
      <c r="I8" s="74"/>
      <c r="L8" s="74"/>
      <c r="M8" s="74"/>
    </row>
    <row r="9" spans="1:26">
      <c r="B9" s="74"/>
      <c r="C9" s="74"/>
      <c r="E9" s="74"/>
      <c r="F9" s="74"/>
      <c r="G9" s="74"/>
      <c r="I9" s="74"/>
      <c r="L9" s="74"/>
      <c r="M9" s="74"/>
    </row>
    <row r="10" spans="1:26">
      <c r="B10" s="74"/>
      <c r="C10" s="74"/>
      <c r="E10" s="74"/>
      <c r="F10" s="74"/>
      <c r="G10" s="74"/>
      <c r="I10" s="74"/>
      <c r="L10" s="74"/>
      <c r="M10" s="74"/>
    </row>
    <row r="11" spans="1:26">
      <c r="B11" s="74"/>
      <c r="C11" s="74"/>
      <c r="E11" s="74"/>
      <c r="F11" s="74"/>
      <c r="G11" s="74"/>
      <c r="I11" s="74"/>
      <c r="L11" s="74"/>
      <c r="M11" s="74"/>
    </row>
    <row r="12" spans="1:26">
      <c r="B12" s="74"/>
      <c r="C12" s="74"/>
      <c r="E12" s="74"/>
      <c r="F12" s="74"/>
      <c r="G12" s="74"/>
      <c r="I12" s="74"/>
      <c r="L12" s="74"/>
      <c r="M12" s="74"/>
    </row>
    <row r="13" spans="1:26">
      <c r="B13" s="74"/>
      <c r="C13" s="74"/>
      <c r="E13" s="74"/>
      <c r="F13" s="74"/>
      <c r="G13" s="74"/>
      <c r="I13" s="74"/>
      <c r="L13" s="74"/>
      <c r="M13" s="74"/>
    </row>
    <row r="14" spans="1:26">
      <c r="B14" s="74"/>
      <c r="C14" s="74"/>
      <c r="E14" s="74"/>
      <c r="F14" s="74"/>
      <c r="G14" s="74"/>
      <c r="I14" s="74"/>
      <c r="L14" s="74"/>
      <c r="M14" s="74"/>
    </row>
    <row r="15" spans="1:26">
      <c r="B15" s="74"/>
      <c r="C15" s="74"/>
      <c r="E15" s="74"/>
      <c r="F15" s="74"/>
      <c r="G15" s="74"/>
      <c r="I15" s="74"/>
      <c r="L15" s="74"/>
      <c r="M15" s="74"/>
    </row>
    <row r="16" spans="1:26">
      <c r="B16" s="74"/>
      <c r="C16" s="74"/>
      <c r="E16" s="74"/>
      <c r="F16" s="74"/>
      <c r="G16" s="74"/>
      <c r="I16" s="74"/>
      <c r="L16" s="74"/>
      <c r="M16" s="74"/>
    </row>
    <row r="17" spans="2:13">
      <c r="B17" s="74"/>
      <c r="C17" s="74"/>
      <c r="E17" s="74"/>
      <c r="F17" s="74"/>
      <c r="G17" s="74"/>
      <c r="I17" s="74"/>
      <c r="L17" s="74"/>
      <c r="M17" s="74"/>
    </row>
    <row r="18" spans="2:13">
      <c r="B18" s="74"/>
      <c r="C18" s="74"/>
      <c r="E18" s="74"/>
      <c r="F18" s="74"/>
      <c r="G18" s="74"/>
      <c r="I18" s="74"/>
      <c r="L18" s="74"/>
      <c r="M18" s="74"/>
    </row>
    <row r="19" spans="2:13">
      <c r="B19" s="74"/>
      <c r="C19" s="74"/>
      <c r="E19" s="74"/>
      <c r="F19" s="74"/>
      <c r="G19" s="74"/>
      <c r="I19" s="74"/>
      <c r="L19" s="74"/>
      <c r="M19" s="74"/>
    </row>
    <row r="20" spans="2:13">
      <c r="B20" s="74"/>
      <c r="C20" s="74"/>
      <c r="E20" s="74"/>
      <c r="F20" s="74"/>
      <c r="G20" s="74"/>
      <c r="I20" s="74"/>
      <c r="L20" s="74"/>
      <c r="M20" s="74"/>
    </row>
    <row r="21" spans="2:13">
      <c r="B21" s="74"/>
      <c r="C21" s="74"/>
      <c r="E21" s="74"/>
      <c r="F21" s="74"/>
      <c r="G21" s="74"/>
      <c r="I21" s="74"/>
      <c r="L21" s="74"/>
      <c r="M21" s="74"/>
    </row>
    <row r="22" spans="2:13">
      <c r="B22" s="74"/>
      <c r="C22" s="74"/>
      <c r="E22" s="74"/>
      <c r="F22" s="74"/>
      <c r="G22" s="74"/>
      <c r="I22" s="74"/>
      <c r="L22" s="74"/>
      <c r="M22" s="74"/>
    </row>
    <row r="23" spans="2:13">
      <c r="B23" s="74"/>
      <c r="C23" s="74"/>
      <c r="E23" s="74"/>
      <c r="F23" s="74"/>
      <c r="G23" s="74"/>
      <c r="I23" s="74"/>
      <c r="L23" s="74"/>
      <c r="M23" s="74"/>
    </row>
    <row r="24" spans="2:13">
      <c r="B24" s="74"/>
      <c r="C24" s="74"/>
      <c r="E24" s="74"/>
      <c r="F24" s="74"/>
      <c r="G24" s="74"/>
      <c r="I24" s="74"/>
      <c r="L24" s="74"/>
      <c r="M24" s="74"/>
    </row>
    <row r="25" spans="2:13">
      <c r="B25" s="74"/>
      <c r="C25" s="74"/>
      <c r="E25" s="74"/>
      <c r="F25" s="74"/>
      <c r="G25" s="74"/>
      <c r="I25" s="74"/>
      <c r="L25" s="74"/>
      <c r="M25" s="74"/>
    </row>
    <row r="26" spans="2:13">
      <c r="B26" s="74"/>
      <c r="C26" s="74"/>
      <c r="E26" s="74"/>
      <c r="F26" s="74"/>
      <c r="G26" s="74"/>
      <c r="I26" s="74"/>
      <c r="L26" s="74"/>
      <c r="M26" s="74"/>
    </row>
    <row r="27" spans="2:13">
      <c r="B27" s="74"/>
      <c r="C27" s="74"/>
      <c r="E27" s="74"/>
      <c r="F27" s="74"/>
      <c r="G27" s="74"/>
      <c r="I27" s="74"/>
      <c r="L27" s="74"/>
      <c r="M27" s="74"/>
    </row>
    <row r="28" spans="2:13">
      <c r="B28" s="74"/>
      <c r="C28" s="74"/>
      <c r="E28" s="74"/>
      <c r="F28" s="74"/>
      <c r="G28" s="74"/>
      <c r="I28" s="74"/>
      <c r="L28" s="74"/>
      <c r="M28" s="74"/>
    </row>
    <row r="29" spans="2:13">
      <c r="B29" s="74"/>
      <c r="C29" s="74"/>
      <c r="E29" s="74"/>
      <c r="F29" s="74"/>
      <c r="G29" s="74"/>
      <c r="I29" s="74"/>
      <c r="L29" s="74"/>
      <c r="M29" s="74"/>
    </row>
    <row r="30" spans="2:13">
      <c r="B30" s="74"/>
      <c r="C30" s="74"/>
      <c r="E30" s="74"/>
      <c r="F30" s="74"/>
      <c r="G30" s="74"/>
      <c r="I30" s="74"/>
      <c r="L30" s="74"/>
      <c r="M30" s="74"/>
    </row>
    <row r="31" spans="2:13">
      <c r="B31" s="74"/>
      <c r="C31" s="74"/>
      <c r="E31" s="74"/>
      <c r="F31" s="74"/>
      <c r="G31" s="74"/>
      <c r="I31" s="74"/>
      <c r="L31" s="74"/>
      <c r="M31" s="74"/>
    </row>
    <row r="32" spans="2:13">
      <c r="B32" s="74"/>
      <c r="C32" s="74"/>
      <c r="E32" s="74"/>
      <c r="F32" s="74"/>
      <c r="G32" s="74"/>
      <c r="I32" s="74"/>
      <c r="L32" s="74"/>
      <c r="M32" s="74"/>
    </row>
    <row r="33" spans="2:13">
      <c r="B33" s="74"/>
      <c r="C33" s="74"/>
      <c r="E33" s="74"/>
      <c r="F33" s="74"/>
      <c r="G33" s="74"/>
      <c r="I33" s="74"/>
      <c r="L33" s="74"/>
      <c r="M33" s="74"/>
    </row>
    <row r="34" spans="2:13">
      <c r="B34" s="74"/>
      <c r="C34" s="74"/>
      <c r="E34" s="74"/>
      <c r="F34" s="74"/>
      <c r="G34" s="74"/>
      <c r="I34" s="74"/>
      <c r="M34" s="74"/>
    </row>
    <row r="35" spans="2:13">
      <c r="B35" s="74"/>
      <c r="C35" s="74"/>
      <c r="E35" s="74"/>
      <c r="F35" s="74"/>
      <c r="G35" s="74"/>
      <c r="I35" s="74"/>
      <c r="M35" s="74"/>
    </row>
    <row r="36" spans="2:13">
      <c r="B36" s="74"/>
      <c r="C36" s="74"/>
      <c r="E36" s="74"/>
      <c r="F36" s="74"/>
      <c r="G36" s="74"/>
      <c r="I36" s="74"/>
      <c r="M36" s="74"/>
    </row>
    <row r="37" spans="2:13">
      <c r="B37" s="74"/>
      <c r="C37" s="74"/>
      <c r="E37" s="74"/>
      <c r="F37" s="74"/>
      <c r="G37" s="74"/>
      <c r="I37" s="74"/>
      <c r="M37" s="74"/>
    </row>
    <row r="38" spans="2:13">
      <c r="B38" s="74"/>
      <c r="C38" s="74"/>
      <c r="E38" s="74"/>
      <c r="F38" s="74"/>
      <c r="G38" s="74"/>
      <c r="I38" s="74"/>
      <c r="M38" s="74"/>
    </row>
    <row r="39" spans="2:13">
      <c r="B39" s="74"/>
      <c r="C39" s="74"/>
      <c r="E39" s="74"/>
      <c r="F39" s="74"/>
      <c r="G39" s="74"/>
      <c r="I39" s="74"/>
      <c r="M39" s="74"/>
    </row>
    <row r="40" spans="2:13">
      <c r="B40" s="74"/>
      <c r="C40" s="74"/>
      <c r="E40" s="74"/>
      <c r="F40" s="74"/>
      <c r="G40" s="74"/>
      <c r="I40" s="74"/>
      <c r="M40" s="74"/>
    </row>
    <row r="41" spans="2:13">
      <c r="B41" s="74"/>
      <c r="C41" s="74"/>
      <c r="E41" s="74"/>
      <c r="F41" s="74"/>
      <c r="G41" s="74"/>
      <c r="I41" s="74"/>
      <c r="M41" s="74"/>
    </row>
    <row r="42" spans="2:13">
      <c r="B42" s="74"/>
      <c r="C42" s="74"/>
      <c r="E42" s="74"/>
      <c r="F42" s="74"/>
      <c r="G42" s="74"/>
      <c r="I42" s="74"/>
      <c r="M42" s="74"/>
    </row>
    <row r="43" spans="2:13">
      <c r="B43" s="74"/>
      <c r="C43" s="74"/>
      <c r="E43" s="74"/>
      <c r="F43" s="74"/>
      <c r="G43" s="74"/>
      <c r="I43" s="74"/>
      <c r="M43" s="74"/>
    </row>
    <row r="44" spans="2:13">
      <c r="B44" s="74"/>
      <c r="C44" s="74"/>
      <c r="E44" s="74"/>
      <c r="F44" s="74"/>
      <c r="G44" s="74"/>
      <c r="I44" s="74"/>
      <c r="M44" s="74"/>
    </row>
    <row r="45" spans="2:13">
      <c r="B45" s="74"/>
      <c r="C45" s="74"/>
      <c r="E45" s="74"/>
      <c r="F45" s="74"/>
      <c r="G45" s="74"/>
      <c r="I45" s="74"/>
      <c r="M45" s="74"/>
    </row>
    <row r="46" spans="2:13">
      <c r="B46" s="74"/>
      <c r="C46" s="74"/>
      <c r="E46" s="74"/>
      <c r="F46" s="74"/>
      <c r="G46" s="74"/>
      <c r="I46" s="74"/>
      <c r="M46" s="74"/>
    </row>
    <row r="47" spans="2:13">
      <c r="B47" s="74"/>
      <c r="C47" s="74"/>
      <c r="E47" s="74"/>
      <c r="F47" s="74"/>
      <c r="G47" s="74"/>
      <c r="I47" s="74"/>
      <c r="M47" s="74"/>
    </row>
    <row r="48" spans="2:13">
      <c r="B48" s="74"/>
      <c r="C48" s="74"/>
      <c r="E48" s="74"/>
      <c r="F48" s="74"/>
      <c r="G48" s="74"/>
      <c r="I48" s="74"/>
      <c r="M48" s="74"/>
    </row>
    <row r="49" spans="2:13">
      <c r="B49" s="74"/>
      <c r="C49" s="74"/>
      <c r="E49" s="74"/>
      <c r="F49" s="74"/>
      <c r="G49" s="74"/>
      <c r="I49" s="74"/>
      <c r="M49" s="74"/>
    </row>
  </sheetData>
  <phoneticPr fontId="24" type="noConversion"/>
  <conditionalFormatting sqref="E2">
    <cfRule type="cellIs" dxfId="70" priority="37" operator="equal">
      <formula>"TAK"</formula>
    </cfRule>
  </conditionalFormatting>
  <conditionalFormatting sqref="L4:L105">
    <cfRule type="duplicateValues" dxfId="69" priority="38"/>
  </conditionalFormatting>
  <conditionalFormatting sqref="B3:B105">
    <cfRule type="duplicateValues" dxfId="68" priority="39"/>
  </conditionalFormatting>
  <conditionalFormatting sqref="H2">
    <cfRule type="containsText" dxfId="67" priority="28" operator="containsText" text="TAK">
      <formula>NOT(ISERROR(SEARCH("TAK",H2)))</formula>
    </cfRule>
  </conditionalFormatting>
  <conditionalFormatting sqref="Q2">
    <cfRule type="containsText" dxfId="66" priority="26" operator="containsText" text="TAK">
      <formula>NOT(ISERROR(SEARCH("TAK",Q2)))</formula>
    </cfRule>
  </conditionalFormatting>
  <conditionalFormatting sqref="O2">
    <cfRule type="cellIs" dxfId="65" priority="25" operator="equal">
      <formula>"TAK"</formula>
    </cfRule>
  </conditionalFormatting>
  <conditionalFormatting sqref="R2">
    <cfRule type="containsText" dxfId="64" priority="24" operator="containsText" text="TAK">
      <formula>NOT(ISERROR(SEARCH("TAK",R2)))</formula>
    </cfRule>
  </conditionalFormatting>
  <conditionalFormatting sqref="C5">
    <cfRule type="duplicateValues" dxfId="63" priority="1"/>
  </conditionalFormatting>
  <pageMargins left="0.7" right="0.7" top="0.75" bottom="0.75" header="0.3" footer="0.3"/>
  <pageSetup paperSize="9"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DB1C8-75B3-4EFC-82C7-F98A49A4B0AD}">
  <sheetPr codeName="Arkusz5">
    <tabColor theme="9"/>
  </sheetPr>
  <dimension ref="A1:CB1001"/>
  <sheetViews>
    <sheetView tabSelected="1" zoomScaleNormal="100" workbookViewId="0">
      <selection activeCell="G15" sqref="G15"/>
    </sheetView>
  </sheetViews>
  <sheetFormatPr defaultRowHeight="15"/>
  <cols>
    <col min="1" max="1" width="3.7109375" style="21" customWidth="1"/>
    <col min="2" max="2" width="9.140625" style="27"/>
    <col min="3" max="3" width="10.42578125" style="27" customWidth="1"/>
    <col min="4" max="4" width="100.85546875" style="27" customWidth="1"/>
    <col min="5" max="5" width="11" style="27" customWidth="1"/>
    <col min="6" max="6" width="19.7109375" style="21" customWidth="1"/>
    <col min="7" max="7" width="20.7109375" style="21" customWidth="1"/>
    <col min="8" max="8" width="2.7109375" style="21" customWidth="1"/>
    <col min="9" max="9" width="30.42578125" style="21" customWidth="1"/>
    <col min="10" max="10" width="20.7109375" style="21" customWidth="1"/>
    <col min="11" max="11" width="2.7109375" style="21" customWidth="1"/>
    <col min="12" max="12" width="19.7109375" style="21" customWidth="1"/>
    <col min="13" max="13" width="2.7109375" style="21" customWidth="1"/>
    <col min="14" max="14" width="20.7109375" style="21" customWidth="1"/>
    <col min="15" max="15" width="2.7109375" style="21" customWidth="1"/>
    <col min="16" max="16" width="3.7109375" style="21" customWidth="1"/>
    <col min="17" max="17" width="9.85546875" style="21" bestFit="1" customWidth="1"/>
    <col min="18" max="16384" width="9.140625" style="21"/>
  </cols>
  <sheetData>
    <row r="1" spans="1:80">
      <c r="A1" s="22"/>
      <c r="B1" s="34"/>
      <c r="C1" s="34"/>
      <c r="D1" s="34"/>
      <c r="E1" s="34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</row>
    <row r="2" spans="1:80" ht="107.25" customHeight="1">
      <c r="A2" s="35"/>
      <c r="B2" s="86" t="s">
        <v>160</v>
      </c>
      <c r="C2" s="98"/>
      <c r="D2" s="98"/>
      <c r="E2" s="98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</row>
    <row r="3" spans="1:80" ht="61.5" customHeight="1">
      <c r="A3" s="32"/>
      <c r="B3" s="31" t="s">
        <v>161</v>
      </c>
      <c r="C3" s="101" t="s">
        <v>136</v>
      </c>
      <c r="D3" s="102"/>
      <c r="E3" s="10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33"/>
      <c r="R3" s="33"/>
      <c r="S3" s="85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</row>
    <row r="4" spans="1:80" ht="34.5" customHeight="1">
      <c r="A4" s="32"/>
      <c r="B4" s="43" t="s">
        <v>60</v>
      </c>
      <c r="C4" s="103" t="s">
        <v>38</v>
      </c>
      <c r="D4" s="104"/>
      <c r="E4" s="105"/>
      <c r="F4" s="22"/>
      <c r="G4" s="58" t="s">
        <v>155</v>
      </c>
      <c r="H4" s="22"/>
      <c r="I4" s="22"/>
      <c r="J4" s="22"/>
      <c r="K4" s="22"/>
      <c r="L4" s="59" t="s">
        <v>41</v>
      </c>
      <c r="M4" s="22"/>
      <c r="N4" s="22"/>
      <c r="O4" s="22"/>
      <c r="P4" s="2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</row>
    <row r="5" spans="1:80" ht="15" customHeight="1">
      <c r="A5" s="32"/>
      <c r="B5" s="95" t="s">
        <v>104</v>
      </c>
      <c r="C5" s="86" t="s">
        <v>40</v>
      </c>
      <c r="D5" s="87"/>
      <c r="E5" s="88"/>
      <c r="F5" s="99" t="s">
        <v>61</v>
      </c>
      <c r="G5" s="56"/>
      <c r="H5" s="56"/>
      <c r="I5" s="99" t="s">
        <v>153</v>
      </c>
      <c r="K5" s="56"/>
      <c r="L5" s="99" t="s">
        <v>154</v>
      </c>
      <c r="M5" s="99"/>
      <c r="N5" s="22"/>
      <c r="O5" s="22"/>
      <c r="P5" s="2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</row>
    <row r="6" spans="1:80" ht="15" customHeight="1">
      <c r="A6" s="32"/>
      <c r="B6" s="96"/>
      <c r="C6" s="89"/>
      <c r="D6" s="90"/>
      <c r="E6" s="91"/>
      <c r="F6" s="100"/>
      <c r="G6" s="29"/>
      <c r="H6" s="71" t="str">
        <f>HYPERLINK("#"&amp;ADDRESS(ROW(),COLUMN()-1),CHAR(128))</f>
        <v>€</v>
      </c>
      <c r="I6" s="100"/>
      <c r="J6" s="29"/>
      <c r="K6" s="30" t="str">
        <f>HYPERLINK("#"&amp;ADDRESS(ROW(),COLUMN()-1),CHAR(128))</f>
        <v>€</v>
      </c>
      <c r="L6" s="99"/>
      <c r="M6" s="99"/>
      <c r="N6" s="29"/>
      <c r="O6" s="30" t="str">
        <f>HYPERLINK("#"&amp;ADDRESS(ROW(),COLUMN()-1),CHAR(128))</f>
        <v>€</v>
      </c>
      <c r="P6" s="2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</row>
    <row r="7" spans="1:80" ht="15" customHeight="1">
      <c r="A7" s="32"/>
      <c r="B7" s="97"/>
      <c r="C7" s="92"/>
      <c r="D7" s="93"/>
      <c r="E7" s="94"/>
      <c r="F7" s="100"/>
      <c r="G7" s="57"/>
      <c r="H7" s="57"/>
      <c r="I7" s="100"/>
      <c r="K7" s="57"/>
      <c r="L7" s="99"/>
      <c r="M7" s="99"/>
      <c r="N7" s="22"/>
      <c r="O7" s="22"/>
      <c r="P7" s="2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</row>
    <row r="8" spans="1:80">
      <c r="A8" s="32"/>
      <c r="B8" s="95" t="s">
        <v>105</v>
      </c>
      <c r="C8" s="86"/>
      <c r="D8" s="87"/>
      <c r="E8" s="88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</row>
    <row r="9" spans="1:80">
      <c r="A9" s="32"/>
      <c r="B9" s="96"/>
      <c r="C9" s="89"/>
      <c r="D9" s="90"/>
      <c r="E9" s="91"/>
      <c r="F9" s="44"/>
      <c r="G9" s="28"/>
      <c r="H9" s="28"/>
      <c r="I9" s="28"/>
      <c r="J9" s="28"/>
      <c r="K9" s="28"/>
      <c r="L9" s="28"/>
      <c r="M9" s="28"/>
      <c r="N9" s="28"/>
      <c r="O9" s="28"/>
      <c r="P9" s="35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</row>
    <row r="10" spans="1:80">
      <c r="A10" s="32"/>
      <c r="B10" s="97"/>
      <c r="C10" s="92"/>
      <c r="D10" s="93"/>
      <c r="E10" s="94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</row>
    <row r="11" spans="1:80">
      <c r="A11" s="32"/>
      <c r="B11" s="95" t="s">
        <v>106</v>
      </c>
      <c r="C11" s="86"/>
      <c r="D11" s="87"/>
      <c r="E11" s="88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</row>
    <row r="12" spans="1:80">
      <c r="A12" s="32"/>
      <c r="B12" s="96"/>
      <c r="C12" s="89"/>
      <c r="D12" s="90"/>
      <c r="E12" s="91"/>
      <c r="F12" s="44"/>
      <c r="G12" s="28"/>
      <c r="H12" s="28"/>
      <c r="I12" s="28"/>
      <c r="J12" s="28"/>
      <c r="K12" s="28"/>
      <c r="L12" s="28"/>
      <c r="M12" s="28"/>
      <c r="N12" s="28"/>
      <c r="O12" s="28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</row>
    <row r="13" spans="1:80">
      <c r="A13" s="32"/>
      <c r="B13" s="97"/>
      <c r="C13" s="92"/>
      <c r="D13" s="93"/>
      <c r="E13" s="94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</row>
    <row r="14" spans="1:80" ht="15" customHeight="1">
      <c r="A14" s="32"/>
      <c r="B14" s="95" t="s">
        <v>107</v>
      </c>
      <c r="C14" s="86"/>
      <c r="D14" s="87"/>
      <c r="E14" s="88"/>
      <c r="F14" s="22"/>
      <c r="G14" s="84"/>
      <c r="H14" s="84"/>
      <c r="I14" s="124" t="s">
        <v>39</v>
      </c>
      <c r="J14" s="106" t="s">
        <v>119</v>
      </c>
      <c r="K14" s="107"/>
      <c r="L14" s="108"/>
      <c r="M14" s="22"/>
      <c r="N14" s="22"/>
      <c r="O14" s="22"/>
      <c r="P14" s="2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</row>
    <row r="15" spans="1:80" ht="15" customHeight="1">
      <c r="A15" s="32"/>
      <c r="B15" s="96"/>
      <c r="C15" s="89"/>
      <c r="D15" s="90"/>
      <c r="E15" s="91"/>
      <c r="F15" s="22"/>
      <c r="G15" s="84"/>
      <c r="H15" s="84"/>
      <c r="I15" s="124"/>
      <c r="J15" s="109"/>
      <c r="K15" s="110"/>
      <c r="L15" s="111"/>
      <c r="M15" s="22"/>
      <c r="N15" s="22"/>
      <c r="O15" s="22"/>
      <c r="P15" s="2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</row>
    <row r="16" spans="1:80" ht="15" customHeight="1">
      <c r="A16" s="32"/>
      <c r="B16" s="97"/>
      <c r="C16" s="92"/>
      <c r="D16" s="93"/>
      <c r="E16" s="94"/>
      <c r="F16" s="22"/>
      <c r="G16" s="84"/>
      <c r="H16" s="84"/>
      <c r="I16" s="124"/>
      <c r="J16" s="112"/>
      <c r="K16" s="113"/>
      <c r="L16" s="114"/>
      <c r="M16" s="22"/>
      <c r="N16" s="22"/>
      <c r="O16" s="22"/>
      <c r="P16" s="2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</row>
    <row r="17" spans="1:80">
      <c r="A17" s="32"/>
      <c r="B17" s="95" t="s">
        <v>108</v>
      </c>
      <c r="C17" s="86"/>
      <c r="D17" s="87"/>
      <c r="E17" s="88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</row>
    <row r="18" spans="1:80">
      <c r="A18" s="32"/>
      <c r="B18" s="96"/>
      <c r="C18" s="89"/>
      <c r="D18" s="90"/>
      <c r="E18" s="91"/>
      <c r="F18" s="44"/>
      <c r="G18" s="28"/>
      <c r="H18" s="28"/>
      <c r="I18" s="28"/>
      <c r="J18" s="28"/>
      <c r="K18" s="28"/>
      <c r="L18" s="28"/>
      <c r="M18" s="28"/>
      <c r="N18" s="28"/>
      <c r="O18" s="28"/>
      <c r="P18" s="35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</row>
    <row r="19" spans="1:80">
      <c r="A19" s="32"/>
      <c r="B19" s="97"/>
      <c r="C19" s="92"/>
      <c r="D19" s="93"/>
      <c r="E19" s="94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</row>
    <row r="20" spans="1:80">
      <c r="A20" s="32"/>
      <c r="B20" s="95" t="s">
        <v>109</v>
      </c>
      <c r="C20" s="86"/>
      <c r="D20" s="87"/>
      <c r="E20" s="88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</row>
    <row r="21" spans="1:80">
      <c r="A21" s="32"/>
      <c r="B21" s="96"/>
      <c r="C21" s="89"/>
      <c r="D21" s="90"/>
      <c r="E21" s="91"/>
      <c r="F21" s="44"/>
      <c r="G21" s="28"/>
      <c r="H21" s="28"/>
      <c r="I21" s="28"/>
      <c r="J21" s="28"/>
      <c r="K21" s="28"/>
      <c r="L21" s="28"/>
      <c r="M21" s="28"/>
      <c r="N21" s="28"/>
      <c r="O21" s="28"/>
      <c r="P21" s="35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</row>
    <row r="22" spans="1:80">
      <c r="A22" s="32"/>
      <c r="B22" s="97"/>
      <c r="C22" s="92"/>
      <c r="D22" s="93"/>
      <c r="E22" s="94"/>
      <c r="F22" s="22"/>
      <c r="G22" s="19"/>
      <c r="H22" s="19"/>
      <c r="I22" s="19"/>
      <c r="J22" s="22"/>
      <c r="K22" s="22"/>
      <c r="L22" s="22"/>
      <c r="M22" s="22"/>
      <c r="N22" s="22"/>
      <c r="O22" s="22"/>
      <c r="P22" s="2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</row>
    <row r="23" spans="1:80" ht="15" customHeight="1">
      <c r="A23" s="32"/>
      <c r="B23" s="95" t="s">
        <v>110</v>
      </c>
      <c r="C23" s="46"/>
      <c r="D23" s="47"/>
      <c r="E23" s="4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</row>
    <row r="24" spans="1:80">
      <c r="A24" s="32"/>
      <c r="B24" s="96"/>
      <c r="C24" s="49"/>
      <c r="D24" s="50"/>
      <c r="E24" s="51"/>
      <c r="F24" s="44"/>
      <c r="G24" s="28"/>
      <c r="H24" s="28"/>
      <c r="I24" s="28"/>
      <c r="J24" s="28"/>
      <c r="K24" s="28"/>
      <c r="L24" s="28"/>
      <c r="M24" s="28"/>
      <c r="N24" s="28"/>
      <c r="O24" s="28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</row>
    <row r="25" spans="1:80">
      <c r="A25" s="32"/>
      <c r="B25" s="97"/>
      <c r="C25" s="49"/>
      <c r="D25" s="50"/>
      <c r="E25" s="51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</row>
    <row r="26" spans="1:80" ht="116.25" customHeight="1">
      <c r="A26" s="32"/>
      <c r="B26" s="118" t="s">
        <v>135</v>
      </c>
      <c r="C26" s="119"/>
      <c r="D26" s="119"/>
      <c r="E26" s="12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</row>
    <row r="27" spans="1:80" ht="15" customHeight="1">
      <c r="A27" s="32"/>
      <c r="B27" s="95" t="s">
        <v>111</v>
      </c>
      <c r="C27" s="46"/>
      <c r="D27" s="47"/>
      <c r="E27" s="48"/>
      <c r="F27" s="22"/>
      <c r="G27" s="84"/>
      <c r="H27" s="84"/>
      <c r="I27" s="124" t="s">
        <v>103</v>
      </c>
      <c r="J27" s="106" t="s">
        <v>119</v>
      </c>
      <c r="K27" s="107"/>
      <c r="L27" s="108"/>
      <c r="M27" s="22"/>
      <c r="N27" s="22"/>
      <c r="O27" s="22"/>
      <c r="P27" s="2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</row>
    <row r="28" spans="1:80" ht="15" customHeight="1">
      <c r="A28" s="32"/>
      <c r="B28" s="96"/>
      <c r="C28" s="52"/>
      <c r="D28" s="50"/>
      <c r="E28" s="51"/>
      <c r="F28" s="22"/>
      <c r="G28" s="84"/>
      <c r="H28" s="84"/>
      <c r="I28" s="124"/>
      <c r="J28" s="109"/>
      <c r="K28" s="110"/>
      <c r="L28" s="111"/>
      <c r="M28" s="22"/>
      <c r="N28" s="22"/>
      <c r="O28" s="22"/>
      <c r="P28" s="2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</row>
    <row r="29" spans="1:80" ht="14.25" customHeight="1">
      <c r="A29" s="32"/>
      <c r="B29" s="97"/>
      <c r="C29" s="53"/>
      <c r="D29" s="54"/>
      <c r="E29" s="55"/>
      <c r="F29" s="22"/>
      <c r="G29" s="84"/>
      <c r="H29" s="84"/>
      <c r="I29" s="124"/>
      <c r="J29" s="112"/>
      <c r="K29" s="113"/>
      <c r="L29" s="114"/>
      <c r="M29" s="22"/>
      <c r="N29" s="22"/>
      <c r="O29" s="22"/>
      <c r="P29" s="2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</row>
    <row r="30" spans="1:80" ht="14.25" customHeight="1">
      <c r="A30" s="32"/>
      <c r="B30" s="63"/>
      <c r="C30" s="65"/>
      <c r="D30" s="50"/>
      <c r="E30" s="50"/>
      <c r="F30" s="25"/>
      <c r="G30" s="61"/>
      <c r="H30" s="61"/>
      <c r="I30" s="61"/>
      <c r="J30" s="62"/>
      <c r="K30" s="62"/>
      <c r="L30" s="62"/>
      <c r="M30" s="22"/>
      <c r="N30" s="22"/>
      <c r="O30" s="22"/>
      <c r="P30" s="2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</row>
    <row r="31" spans="1:80" ht="14.25" customHeight="1">
      <c r="A31" s="32"/>
      <c r="B31" s="121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</row>
    <row r="32" spans="1:80" ht="14.25" customHeight="1">
      <c r="A32" s="32"/>
      <c r="B32" s="64"/>
      <c r="C32" s="50"/>
      <c r="D32" s="50"/>
      <c r="E32" s="65"/>
      <c r="F32" s="22"/>
      <c r="G32" s="61"/>
      <c r="H32" s="61"/>
      <c r="I32" s="61"/>
      <c r="J32" s="62"/>
      <c r="K32" s="62"/>
      <c r="L32" s="62"/>
      <c r="M32" s="22"/>
      <c r="N32" s="22"/>
      <c r="O32" s="22"/>
      <c r="P32" s="2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</row>
    <row r="33" spans="1:80">
      <c r="A33" s="32"/>
      <c r="B33" s="115" t="s">
        <v>112</v>
      </c>
      <c r="C33" s="46"/>
      <c r="D33" s="47"/>
      <c r="E33" s="48"/>
      <c r="F33" s="22"/>
      <c r="G33" s="22"/>
      <c r="H33" s="22"/>
      <c r="I33" s="22"/>
      <c r="J33" s="66"/>
      <c r="K33" s="22"/>
      <c r="L33" s="22"/>
      <c r="M33" s="22"/>
      <c r="N33" s="22"/>
      <c r="O33" s="22"/>
      <c r="P33" s="2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</row>
    <row r="34" spans="1:80">
      <c r="A34" s="32"/>
      <c r="B34" s="116"/>
      <c r="C34" s="52"/>
      <c r="D34" s="50"/>
      <c r="E34" s="51"/>
      <c r="F34" s="44"/>
      <c r="G34" s="28"/>
      <c r="H34" s="28"/>
      <c r="I34" s="28"/>
      <c r="J34" s="28"/>
      <c r="K34" s="28"/>
      <c r="L34" s="28"/>
      <c r="M34" s="28"/>
      <c r="N34" s="28"/>
      <c r="O34" s="60"/>
      <c r="P34" s="2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</row>
    <row r="35" spans="1:80" ht="15" customHeight="1">
      <c r="A35" s="32"/>
      <c r="B35" s="117"/>
      <c r="C35" s="53"/>
      <c r="D35" s="54"/>
      <c r="E35" s="55"/>
      <c r="F35" s="24"/>
      <c r="G35" s="22"/>
      <c r="H35" s="22"/>
      <c r="I35" s="22"/>
      <c r="J35" s="22"/>
      <c r="K35" s="22"/>
      <c r="L35" s="22"/>
      <c r="M35" s="22"/>
      <c r="N35" s="22"/>
      <c r="O35" s="22"/>
      <c r="P35" s="2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</row>
    <row r="36" spans="1:80">
      <c r="A36" s="32"/>
      <c r="B36" s="115" t="s">
        <v>113</v>
      </c>
      <c r="C36" s="46"/>
      <c r="D36" s="47"/>
      <c r="E36" s="48"/>
      <c r="F36" s="24"/>
      <c r="G36" s="22"/>
      <c r="H36" s="22"/>
      <c r="I36" s="22"/>
      <c r="J36" s="22"/>
      <c r="K36" s="22"/>
      <c r="L36" s="22"/>
      <c r="M36" s="22"/>
      <c r="N36" s="22"/>
      <c r="O36" s="22"/>
      <c r="P36" s="2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</row>
    <row r="37" spans="1:80">
      <c r="A37" s="32"/>
      <c r="B37" s="116"/>
      <c r="C37" s="52"/>
      <c r="D37" s="50"/>
      <c r="E37" s="51"/>
      <c r="F37" s="44"/>
      <c r="G37" s="28"/>
      <c r="H37" s="28"/>
      <c r="I37" s="28"/>
      <c r="J37" s="28"/>
      <c r="K37" s="28"/>
      <c r="L37" s="28"/>
      <c r="M37" s="28"/>
      <c r="N37" s="28"/>
      <c r="O37" s="60"/>
      <c r="P37" s="2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</row>
    <row r="38" spans="1:80">
      <c r="A38" s="32"/>
      <c r="B38" s="117"/>
      <c r="C38" s="53"/>
      <c r="D38" s="54"/>
      <c r="E38" s="55"/>
      <c r="F38" s="24"/>
      <c r="G38" s="22"/>
      <c r="H38" s="22"/>
      <c r="I38" s="22"/>
      <c r="J38" s="22"/>
      <c r="K38" s="22"/>
      <c r="L38" s="22"/>
      <c r="M38" s="22"/>
      <c r="N38" s="22"/>
      <c r="O38" s="22"/>
      <c r="P38" s="2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</row>
    <row r="39" spans="1:80" ht="15" customHeight="1">
      <c r="A39" s="32"/>
      <c r="B39" s="115" t="s">
        <v>114</v>
      </c>
      <c r="C39" s="46"/>
      <c r="D39" s="47"/>
      <c r="E39" s="48"/>
      <c r="F39" s="18"/>
      <c r="G39" s="84"/>
      <c r="H39" s="125" t="s">
        <v>158</v>
      </c>
      <c r="I39" s="124"/>
      <c r="J39" s="106" t="s">
        <v>159</v>
      </c>
      <c r="K39" s="107"/>
      <c r="L39" s="108"/>
      <c r="M39" s="22"/>
      <c r="N39" s="22"/>
      <c r="O39" s="22"/>
      <c r="P39" s="2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</row>
    <row r="40" spans="1:80" ht="15" customHeight="1">
      <c r="A40" s="32"/>
      <c r="B40" s="116"/>
      <c r="C40" s="52"/>
      <c r="D40" s="50"/>
      <c r="E40" s="51"/>
      <c r="F40" s="18"/>
      <c r="G40" s="84"/>
      <c r="H40" s="125"/>
      <c r="I40" s="124"/>
      <c r="J40" s="109"/>
      <c r="K40" s="110"/>
      <c r="L40" s="111"/>
      <c r="M40" s="22"/>
      <c r="N40" s="22"/>
      <c r="O40" s="22"/>
      <c r="P40" s="2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</row>
    <row r="41" spans="1:80" ht="15" customHeight="1">
      <c r="A41" s="32"/>
      <c r="B41" s="117"/>
      <c r="C41" s="53"/>
      <c r="D41" s="54"/>
      <c r="E41" s="55"/>
      <c r="F41" s="18"/>
      <c r="G41" s="84"/>
      <c r="H41" s="125"/>
      <c r="I41" s="124"/>
      <c r="J41" s="112"/>
      <c r="K41" s="113"/>
      <c r="L41" s="114"/>
      <c r="M41" s="22"/>
      <c r="N41" s="22"/>
      <c r="O41" s="22"/>
      <c r="P41" s="2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</row>
    <row r="42" spans="1:80">
      <c r="A42" s="32"/>
      <c r="B42" s="67"/>
      <c r="C42" s="69"/>
      <c r="D42" s="68"/>
      <c r="E42" s="69"/>
      <c r="F42" s="70"/>
      <c r="G42" s="25"/>
      <c r="H42" s="25"/>
      <c r="I42" s="25"/>
      <c r="J42" s="25"/>
      <c r="K42" s="25"/>
      <c r="L42" s="25"/>
      <c r="M42" s="25"/>
      <c r="N42" s="25"/>
      <c r="O42" s="25"/>
      <c r="P42" s="26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</row>
    <row r="43" spans="1:80">
      <c r="A43" s="32"/>
      <c r="B43" s="34"/>
      <c r="C43" s="34"/>
      <c r="D43" s="34"/>
      <c r="E43" s="34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</row>
    <row r="44" spans="1:80">
      <c r="A44" s="32"/>
      <c r="B44" s="34"/>
      <c r="C44" s="34"/>
      <c r="D44" s="34"/>
      <c r="E44" s="34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</row>
    <row r="45" spans="1:80">
      <c r="A45" s="32"/>
      <c r="B45" s="34"/>
      <c r="C45" s="34"/>
      <c r="D45" s="34"/>
      <c r="E45" s="34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</row>
    <row r="46" spans="1:80">
      <c r="A46" s="32"/>
      <c r="B46" s="34"/>
      <c r="C46" s="34"/>
      <c r="D46" s="34"/>
      <c r="E46" s="34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</row>
    <row r="47" spans="1:80">
      <c r="A47" s="32"/>
      <c r="B47" s="34"/>
      <c r="C47" s="34"/>
      <c r="D47" s="34"/>
      <c r="E47" s="34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</row>
    <row r="48" spans="1:80">
      <c r="A48" s="32"/>
      <c r="B48" s="34"/>
      <c r="C48" s="34"/>
      <c r="D48" s="34"/>
      <c r="E48" s="34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</row>
    <row r="49" spans="1:80">
      <c r="A49" s="32"/>
      <c r="B49" s="34"/>
      <c r="C49" s="34"/>
      <c r="D49" s="34"/>
      <c r="E49" s="34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</row>
    <row r="50" spans="1:80">
      <c r="A50" s="32"/>
      <c r="B50" s="34"/>
      <c r="C50" s="34"/>
      <c r="D50" s="34"/>
      <c r="E50" s="34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</row>
    <row r="51" spans="1:80">
      <c r="A51" s="32"/>
      <c r="B51" s="34"/>
      <c r="C51" s="34"/>
      <c r="D51" s="34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</row>
    <row r="52" spans="1:80">
      <c r="A52" s="32"/>
      <c r="B52" s="34"/>
      <c r="C52" s="34"/>
      <c r="D52" s="34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</row>
    <row r="53" spans="1:80">
      <c r="A53" s="32"/>
      <c r="B53" s="34"/>
      <c r="C53" s="34"/>
      <c r="D53" s="34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</row>
    <row r="54" spans="1:80">
      <c r="A54" s="32"/>
      <c r="B54" s="34"/>
      <c r="C54" s="34"/>
      <c r="D54" s="34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</row>
    <row r="55" spans="1:80">
      <c r="A55" s="32"/>
      <c r="B55" s="34"/>
      <c r="C55" s="34"/>
      <c r="D55" s="34"/>
      <c r="E55" s="34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</row>
    <row r="56" spans="1:80">
      <c r="A56" s="32"/>
      <c r="B56" s="34"/>
      <c r="C56" s="34"/>
      <c r="D56" s="34"/>
      <c r="E56" s="34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</row>
    <row r="57" spans="1:80">
      <c r="A57" s="32"/>
      <c r="B57" s="34"/>
      <c r="C57" s="34"/>
      <c r="D57" s="34"/>
      <c r="E57" s="34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</row>
    <row r="58" spans="1:80">
      <c r="A58" s="32"/>
      <c r="B58" s="34"/>
      <c r="C58" s="34"/>
      <c r="D58" s="34"/>
      <c r="E58" s="34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</row>
    <row r="59" spans="1:80">
      <c r="A59" s="32"/>
      <c r="B59" s="34"/>
      <c r="C59" s="34"/>
      <c r="D59" s="34"/>
      <c r="E59" s="34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</row>
    <row r="60" spans="1:80">
      <c r="A60" s="32"/>
      <c r="B60" s="34"/>
      <c r="C60" s="34"/>
      <c r="D60" s="34"/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</row>
    <row r="61" spans="1:80">
      <c r="A61" s="32"/>
      <c r="B61" s="34"/>
      <c r="C61" s="34"/>
      <c r="D61" s="34"/>
      <c r="E61" s="34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</row>
    <row r="62" spans="1:80">
      <c r="A62" s="32"/>
      <c r="B62" s="34"/>
      <c r="C62" s="34"/>
      <c r="D62" s="34"/>
      <c r="E62" s="34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</row>
    <row r="63" spans="1:80">
      <c r="A63" s="32"/>
      <c r="B63" s="34"/>
      <c r="C63" s="34"/>
      <c r="D63" s="34"/>
      <c r="E63" s="34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</row>
    <row r="64" spans="1:80">
      <c r="A64" s="32"/>
      <c r="B64" s="34"/>
      <c r="C64" s="34"/>
      <c r="D64" s="34"/>
      <c r="E64" s="34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</row>
    <row r="65" spans="1:80">
      <c r="A65" s="32"/>
      <c r="B65" s="34"/>
      <c r="C65" s="34"/>
      <c r="D65" s="34"/>
      <c r="E65" s="34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</row>
    <row r="66" spans="1:80">
      <c r="A66" s="32"/>
      <c r="B66" s="34"/>
      <c r="C66" s="34"/>
      <c r="D66" s="34"/>
      <c r="E66" s="34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</row>
    <row r="67" spans="1:80">
      <c r="A67" s="32"/>
      <c r="B67" s="34"/>
      <c r="C67" s="34"/>
      <c r="D67" s="34"/>
      <c r="E67" s="34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</row>
    <row r="68" spans="1:80">
      <c r="A68" s="32"/>
      <c r="B68" s="34"/>
      <c r="C68" s="34"/>
      <c r="D68" s="34"/>
      <c r="E68" s="34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</row>
    <row r="69" spans="1:80">
      <c r="A69" s="32"/>
      <c r="B69" s="34"/>
      <c r="C69" s="34"/>
      <c r="D69" s="34"/>
      <c r="E69" s="34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</row>
    <row r="70" spans="1:80">
      <c r="A70" s="32"/>
      <c r="B70" s="34"/>
      <c r="C70" s="34"/>
      <c r="D70" s="34"/>
      <c r="E70" s="34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</row>
    <row r="71" spans="1:80">
      <c r="A71" s="32"/>
      <c r="B71" s="34"/>
      <c r="C71" s="34"/>
      <c r="D71" s="34"/>
      <c r="E71" s="34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</row>
    <row r="72" spans="1:80">
      <c r="A72" s="32"/>
      <c r="B72" s="34"/>
      <c r="C72" s="34"/>
      <c r="D72" s="34"/>
      <c r="E72" s="34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</row>
    <row r="73" spans="1:80">
      <c r="A73" s="32"/>
      <c r="B73" s="34"/>
      <c r="C73" s="34"/>
      <c r="D73" s="34"/>
      <c r="E73" s="34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</row>
    <row r="74" spans="1:80">
      <c r="A74" s="32"/>
      <c r="B74" s="34"/>
      <c r="C74" s="34"/>
      <c r="D74" s="34"/>
      <c r="E74" s="3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</row>
    <row r="75" spans="1:80">
      <c r="A75" s="32"/>
      <c r="B75" s="34"/>
      <c r="C75" s="34"/>
      <c r="D75" s="34"/>
      <c r="E75" s="34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</row>
    <row r="76" spans="1:80">
      <c r="A76" s="32"/>
      <c r="B76" s="34"/>
      <c r="C76" s="34"/>
      <c r="D76" s="34"/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</row>
    <row r="77" spans="1:80">
      <c r="A77" s="32"/>
      <c r="B77" s="34"/>
      <c r="C77" s="34"/>
      <c r="D77" s="34"/>
      <c r="E77" s="34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</row>
    <row r="78" spans="1:80">
      <c r="A78" s="32"/>
      <c r="B78" s="34"/>
      <c r="C78" s="34"/>
      <c r="D78" s="34"/>
      <c r="E78" s="34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</row>
    <row r="79" spans="1:80">
      <c r="A79" s="32"/>
      <c r="B79" s="34"/>
      <c r="C79" s="34"/>
      <c r="D79" s="34"/>
      <c r="E79" s="34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</row>
    <row r="80" spans="1:80">
      <c r="A80" s="32"/>
      <c r="B80" s="34"/>
      <c r="C80" s="34"/>
      <c r="D80" s="34"/>
      <c r="E80" s="34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</row>
    <row r="81" spans="1:80">
      <c r="A81" s="32"/>
      <c r="B81" s="34"/>
      <c r="C81" s="34"/>
      <c r="D81" s="34"/>
      <c r="E81" s="34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</row>
    <row r="82" spans="1:80">
      <c r="A82" s="32"/>
      <c r="B82" s="34"/>
      <c r="C82" s="34"/>
      <c r="D82" s="34"/>
      <c r="E82" s="34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</row>
    <row r="83" spans="1:80">
      <c r="A83" s="32"/>
      <c r="B83" s="34"/>
      <c r="C83" s="34"/>
      <c r="D83" s="34"/>
      <c r="E83" s="34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</row>
    <row r="84" spans="1:80">
      <c r="A84" s="32"/>
      <c r="B84" s="34"/>
      <c r="C84" s="34"/>
      <c r="D84" s="34"/>
      <c r="E84" s="34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</row>
    <row r="85" spans="1:80">
      <c r="A85" s="32"/>
      <c r="B85" s="34"/>
      <c r="C85" s="34"/>
      <c r="D85" s="34"/>
      <c r="E85" s="34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</row>
    <row r="86" spans="1:80">
      <c r="A86" s="32"/>
      <c r="B86" s="34"/>
      <c r="C86" s="34"/>
      <c r="D86" s="34"/>
      <c r="E86" s="34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</row>
    <row r="87" spans="1:80">
      <c r="A87" s="32"/>
      <c r="B87" s="34"/>
      <c r="C87" s="34"/>
      <c r="D87" s="34"/>
      <c r="E87" s="34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</row>
    <row r="88" spans="1:80">
      <c r="A88" s="32"/>
      <c r="B88" s="34"/>
      <c r="C88" s="34"/>
      <c r="D88" s="34"/>
      <c r="E88" s="34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</row>
    <row r="89" spans="1:80">
      <c r="A89" s="32"/>
      <c r="B89" s="34"/>
      <c r="C89" s="34"/>
      <c r="D89" s="34"/>
      <c r="E89" s="34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</row>
    <row r="90" spans="1:80">
      <c r="A90" s="32"/>
      <c r="B90" s="34"/>
      <c r="C90" s="34"/>
      <c r="D90" s="34"/>
      <c r="E90" s="34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</row>
    <row r="91" spans="1:80">
      <c r="A91" s="32"/>
      <c r="B91" s="34"/>
      <c r="C91" s="34"/>
      <c r="D91" s="34"/>
      <c r="E91" s="34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</row>
    <row r="92" spans="1:80">
      <c r="A92" s="32"/>
      <c r="B92" s="34"/>
      <c r="C92" s="34"/>
      <c r="D92" s="34"/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</row>
    <row r="93" spans="1:80">
      <c r="A93" s="32"/>
      <c r="B93" s="34"/>
      <c r="C93" s="34"/>
      <c r="D93" s="34"/>
      <c r="E93" s="34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</row>
    <row r="94" spans="1:80">
      <c r="A94" s="32"/>
      <c r="B94" s="34"/>
      <c r="C94" s="34"/>
      <c r="D94" s="34"/>
      <c r="E94" s="34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</row>
    <row r="95" spans="1:80">
      <c r="A95" s="32"/>
      <c r="B95" s="34"/>
      <c r="C95" s="34"/>
      <c r="D95" s="34"/>
      <c r="E95" s="34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</row>
    <row r="96" spans="1:80">
      <c r="A96" s="32"/>
      <c r="B96" s="34"/>
      <c r="C96" s="34"/>
      <c r="D96" s="34"/>
      <c r="E96" s="34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</row>
    <row r="97" spans="1:80">
      <c r="A97" s="32"/>
      <c r="B97" s="34"/>
      <c r="C97" s="34"/>
      <c r="D97" s="34"/>
      <c r="E97" s="34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</row>
    <row r="98" spans="1:80">
      <c r="A98" s="32"/>
      <c r="B98" s="34"/>
      <c r="C98" s="34"/>
      <c r="D98" s="34"/>
      <c r="E98" s="34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</row>
    <row r="99" spans="1:80">
      <c r="A99" s="32"/>
      <c r="B99" s="34"/>
      <c r="C99" s="34"/>
      <c r="D99" s="34"/>
      <c r="E99" s="34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</row>
    <row r="100" spans="1:80">
      <c r="A100" s="32"/>
      <c r="B100" s="34"/>
      <c r="C100" s="34"/>
      <c r="D100" s="34"/>
      <c r="E100" s="34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</row>
    <row r="101" spans="1:80">
      <c r="A101" s="32"/>
      <c r="B101" s="34"/>
      <c r="C101" s="34"/>
      <c r="D101" s="34"/>
      <c r="E101" s="34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</row>
    <row r="102" spans="1:80">
      <c r="A102" s="32"/>
      <c r="B102" s="34"/>
      <c r="C102" s="34"/>
      <c r="D102" s="34"/>
      <c r="E102" s="34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</row>
    <row r="103" spans="1:80">
      <c r="A103" s="32"/>
      <c r="B103" s="34"/>
      <c r="C103" s="34"/>
      <c r="D103" s="34"/>
      <c r="E103" s="34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</row>
    <row r="104" spans="1:80">
      <c r="A104" s="32"/>
      <c r="B104" s="34"/>
      <c r="C104" s="34"/>
      <c r="D104" s="34"/>
      <c r="E104" s="34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</row>
    <row r="105" spans="1:80">
      <c r="A105" s="32"/>
      <c r="B105" s="34"/>
      <c r="C105" s="34"/>
      <c r="D105" s="34"/>
      <c r="E105" s="34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</row>
    <row r="106" spans="1:80">
      <c r="A106" s="32"/>
      <c r="B106" s="34"/>
      <c r="C106" s="34"/>
      <c r="D106" s="34"/>
      <c r="E106" s="34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</row>
    <row r="107" spans="1:80">
      <c r="A107"/>
    </row>
    <row r="108" spans="1:80">
      <c r="A108"/>
    </row>
    <row r="109" spans="1:80">
      <c r="A109"/>
    </row>
    <row r="110" spans="1:80">
      <c r="A110"/>
    </row>
    <row r="111" spans="1:80">
      <c r="A111"/>
    </row>
    <row r="112" spans="1:80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</sheetData>
  <mergeCells count="31">
    <mergeCell ref="L5:M7"/>
    <mergeCell ref="J39:L41"/>
    <mergeCell ref="B39:B41"/>
    <mergeCell ref="J14:L16"/>
    <mergeCell ref="B33:B35"/>
    <mergeCell ref="B36:B38"/>
    <mergeCell ref="C17:E19"/>
    <mergeCell ref="B26:E26"/>
    <mergeCell ref="B31:P31"/>
    <mergeCell ref="I14:I16"/>
    <mergeCell ref="I27:I29"/>
    <mergeCell ref="H39:I41"/>
    <mergeCell ref="B5:B7"/>
    <mergeCell ref="J27:L29"/>
    <mergeCell ref="B23:B25"/>
    <mergeCell ref="B27:B29"/>
    <mergeCell ref="C20:E22"/>
    <mergeCell ref="B20:B22"/>
    <mergeCell ref="B2:E2"/>
    <mergeCell ref="I5:I7"/>
    <mergeCell ref="B8:B10"/>
    <mergeCell ref="B11:B13"/>
    <mergeCell ref="B17:B19"/>
    <mergeCell ref="B14:B16"/>
    <mergeCell ref="F5:F7"/>
    <mergeCell ref="C3:E3"/>
    <mergeCell ref="C14:E16"/>
    <mergeCell ref="C5:E7"/>
    <mergeCell ref="C8:E10"/>
    <mergeCell ref="C11:E13"/>
    <mergeCell ref="C4:E4"/>
  </mergeCells>
  <conditionalFormatting sqref="J14:L16 J27:L30 J39:L41 J32:L32">
    <cfRule type="containsText" dxfId="3" priority="2" operator="containsText" text="FINISHED">
      <formula>NOT(ISERROR(SEARCH("FINISHED",J14)))</formula>
    </cfRule>
    <cfRule type="containsText" dxfId="2" priority="3" operator="containsText" text="DONE">
      <formula>NOT(ISERROR(SEARCH("DONE",J14)))</formula>
    </cfRule>
    <cfRule type="containsText" dxfId="1" priority="4" operator="containsText" text="NIEWYKONAN">
      <formula>NOT(ISERROR(SEARCH("NIEWYKONAN",J14)))</formula>
    </cfRule>
  </conditionalFormatting>
  <conditionalFormatting sqref="J14:L16">
    <cfRule type="containsText" dxfId="0" priority="1" operator="containsText" text="DUPLIKATY">
      <formula>NOT(ISERROR(SEARCH("DUPLIKATY",J14)))</formula>
    </cfRule>
  </conditionalFormatting>
  <dataValidations count="2">
    <dataValidation type="list" allowBlank="1" showInputMessage="1" showErrorMessage="1" sqref="G6 J6" xr:uid="{11D1AE00-8D5B-4DDF-8071-F67F24515881}">
      <formula1>INDIRECT("BazaKontrolerow[Nazwa kontrolera]")</formula1>
    </dataValidation>
    <dataValidation type="list" allowBlank="1" showInputMessage="1" showErrorMessage="1" sqref="N6" xr:uid="{8A739C33-BF84-4A15-816C-88204CCBD0FC}">
      <formula1>INDIRECT("BazaSamolotow[Nazwa samolotu]")</formula1>
    </dataValidation>
  </dataValidations>
  <hyperlinks>
    <hyperlink ref="G4" r:id="rId1" xr:uid="{185D12C6-0D76-48AC-935E-BEDD9AE08EA9}"/>
    <hyperlink ref="L4" r:id="rId2" xr:uid="{DEA29439-2E14-46EF-88C3-109F9EBC602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HTML_Plik_bindow_Kontroler_1">
                <anchor moveWithCells="1" sizeWithCells="1">
                  <from>
                    <xdr:col>2</xdr:col>
                    <xdr:colOff>161925</xdr:colOff>
                    <xdr:row>7</xdr:row>
                    <xdr:rowOff>47625</xdr:rowOff>
                  </from>
                  <to>
                    <xdr:col>4</xdr:col>
                    <xdr:colOff>542925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HTML_Plik_bindow_Kontroler_2">
                <anchor moveWithCells="1" sizeWithCells="1">
                  <from>
                    <xdr:col>2</xdr:col>
                    <xdr:colOff>152400</xdr:colOff>
                    <xdr:row>10</xdr:row>
                    <xdr:rowOff>57150</xdr:rowOff>
                  </from>
                  <to>
                    <xdr:col>4</xdr:col>
                    <xdr:colOff>533400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PDF_Plik_szablonu">
                <anchor moveWithCells="1" sizeWithCells="1">
                  <from>
                    <xdr:col>2</xdr:col>
                    <xdr:colOff>152400</xdr:colOff>
                    <xdr:row>16</xdr:row>
                    <xdr:rowOff>57150</xdr:rowOff>
                  </from>
                  <to>
                    <xdr:col>4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PDF_Folder_zapisu">
                <anchor moveWithCells="1" sizeWithCells="1">
                  <from>
                    <xdr:col>2</xdr:col>
                    <xdr:colOff>152400</xdr:colOff>
                    <xdr:row>19</xdr:row>
                    <xdr:rowOff>57150</xdr:rowOff>
                  </from>
                  <to>
                    <xdr:col>4</xdr:col>
                    <xdr:colOff>533400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0" name="Button 22">
              <controlPr defaultSize="0" print="0" autoFill="0" autoPict="0" macro="[0]!Zainicjalizuj">
                <anchor moveWithCells="1" sizeWithCells="1">
                  <from>
                    <xdr:col>2</xdr:col>
                    <xdr:colOff>152400</xdr:colOff>
                    <xdr:row>13</xdr:row>
                    <xdr:rowOff>57150</xdr:rowOff>
                  </from>
                  <to>
                    <xdr:col>4</xdr:col>
                    <xdr:colOff>533400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1" name="Button 27">
              <controlPr defaultSize="0" print="0" autoFill="0" autoPict="0" macro="[0]!PDF_Plik_exe_edytora">
                <anchor moveWithCells="1" sizeWithCells="1">
                  <from>
                    <xdr:col>2</xdr:col>
                    <xdr:colOff>152400</xdr:colOff>
                    <xdr:row>22</xdr:row>
                    <xdr:rowOff>57150</xdr:rowOff>
                  </from>
                  <to>
                    <xdr:col>4</xdr:col>
                    <xdr:colOff>533400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2" name="Button 29">
              <controlPr defaultSize="0" print="0" autoFill="0" autoPict="0" macro="[0]!PDF_Stworz_wizualizacje_bindow_automatic">
                <anchor moveWithCells="1" sizeWithCells="1">
                  <from>
                    <xdr:col>2</xdr:col>
                    <xdr:colOff>152400</xdr:colOff>
                    <xdr:row>26</xdr:row>
                    <xdr:rowOff>47625</xdr:rowOff>
                  </from>
                  <to>
                    <xdr:col>4</xdr:col>
                    <xdr:colOff>533400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3" name="Button 34">
              <controlPr defaultSize="0" print="0" autoFill="0" autoPict="0" macro="[0]!PDF_Plik_do_kneeboarda">
                <anchor moveWithCells="1" sizeWithCells="1">
                  <from>
                    <xdr:col>2</xdr:col>
                    <xdr:colOff>152400</xdr:colOff>
                    <xdr:row>32</xdr:row>
                    <xdr:rowOff>47625</xdr:rowOff>
                  </from>
                  <to>
                    <xdr:col>4</xdr:col>
                    <xdr:colOff>533400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4" name="Button 35">
              <controlPr defaultSize="0" print="0" autoFill="0" autoPict="0" macro="[0]!PDF_Folder_do_kneeboarda">
                <anchor moveWithCells="1" sizeWithCells="1">
                  <from>
                    <xdr:col>2</xdr:col>
                    <xdr:colOff>152400</xdr:colOff>
                    <xdr:row>35</xdr:row>
                    <xdr:rowOff>47625</xdr:rowOff>
                  </from>
                  <to>
                    <xdr:col>4</xdr:col>
                    <xdr:colOff>533400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5" name="Button 36">
              <controlPr defaultSize="0" print="0" autoFill="0" autoPict="0" macro="[0]!IMG_Eksportuj_do_kneeboarda">
                <anchor moveWithCells="1" sizeWithCells="1">
                  <from>
                    <xdr:col>2</xdr:col>
                    <xdr:colOff>152400</xdr:colOff>
                    <xdr:row>38</xdr:row>
                    <xdr:rowOff>47625</xdr:rowOff>
                  </from>
                  <to>
                    <xdr:col>4</xdr:col>
                    <xdr:colOff>533400</xdr:colOff>
                    <xdr:row>40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B954E0-E433-4C32-8EFB-66279A6F1C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Baza kontrolerow</vt:lpstr>
      <vt:lpstr>Baza samolotow</vt:lpstr>
      <vt:lpstr>Przyciski</vt:lpstr>
      <vt:lpstr>Bindy_KONTROLER 1</vt:lpstr>
      <vt:lpstr>Bindy_KONTROLER 2</vt:lpstr>
      <vt:lpstr>Przyporzadkowanie</vt:lpstr>
      <vt:lpstr>KONSOLA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2020-04-13T08:28:48Z</dcterms:created>
  <dcterms:modified xsi:type="dcterms:W3CDTF">2020-04-13T08:28:58Z</dcterms:modified>
</cp:coreProperties>
</file>